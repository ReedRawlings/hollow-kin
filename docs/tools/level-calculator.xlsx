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s" state="visible" r:id="rId4"/>
    <sheet sheetId="2" name="Run Log" state="visible" r:id="rId5"/>
    <sheet sheetId="3" name="Scenario" state="visible" r:id="rId6"/>
    <sheet sheetId="4" name="Level Table" state="visible" r:id="rId7"/>
  </sheets>
  <definedNames>
    <definedName name="XP_BASE">Params!$B$2</definedName>
    <definedName name="XP_NORMAL">Params!$B$3</definedName>
    <definedName name="XP_BOSS">Params!$B$4</definedName>
    <definedName name="XP_EVENT">Params!$B$5</definedName>
    <definedName name="XP_PER_LEVEL">Params!$B$6</definedName>
    <definedName name="BAND_SIZE">Params!$B$7</definedName>
    <definedName name="BOSS_EVERY">Params!$B$8</definedName>
    <definedName name="STAR_CAPS">Params!$A$11:$B$23</definedName>
  </definedNames>
  <calcPr calcId="171027"/>
</workbook>
</file>

<file path=xl/sharedStrings.xml><?xml version="1.0" encoding="utf-8"?>
<sst xmlns="http://schemas.openxmlformats.org/spreadsheetml/2006/main" count="95" uniqueCount="73">
  <si>
    <t>Parameter</t>
  </si>
  <si>
    <t>Value</t>
  </si>
  <si>
    <t>Source (all values are alpha placeholders — edit freely)</t>
  </si>
  <si>
    <t>XP base per victory</t>
  </si>
  <si>
    <t>Battle.ts:860 — xp = base + (boss ? bossMult : normalMult) × band</t>
  </si>
  <si>
    <t>XP multiplier × band (normal fight)</t>
  </si>
  <si>
    <t>Battle.ts:860</t>
  </si>
  <si>
    <t>XP multiplier × band (boss fight)</t>
  </si>
  <si>
    <t>XP per event room</t>
  </si>
  <si>
    <t>RunScene.ts:435 — shops and rests give 0</t>
  </si>
  <si>
    <t>XP needed per level = level ×</t>
  </si>
  <si>
    <t>GameState.ts:176 — remainder carries over; loops until short</t>
  </si>
  <si>
    <t>Floors per band</t>
  </si>
  <si>
    <t>types.ts bandForFloor: band = floor((floor-1)/10)+1</t>
  </si>
  <si>
    <t>Boss every N floors</t>
  </si>
  <si>
    <t>types.ts isBossFloor</t>
  </si>
  <si>
    <t>Star</t>
  </si>
  <si>
    <t>Level cap</t>
  </si>
  <si>
    <t>types.ts STAR_LEVEL_CAPS</t>
  </si>
  <si>
    <t>Notes</t>
  </si>
  <si>
    <t>Only creatures that are NOT knocked out at the end of a fight earn XP.</t>
  </si>
  <si>
    <t>In-run levels are temporary (Model A): a run starts at permanentLevel with XP 0 and levels vanish at run end.</t>
  </si>
  <si>
    <t>Level cannot pass the star cap; XP keeps accruing but does nothing.</t>
  </si>
  <si>
    <t>Closed form used by the sheets: to go from start level S to level L costs 12·(L(L−1)/2 − S(S−1)/2) cumulative XP,</t>
  </si>
  <si>
    <t>so Level = MIN(cap, INT((1+SQRT(1+4T))/2)) where T = 2·XP/xpPerLevel + S(S−1).</t>
  </si>
  <si>
    <t>Exact simulation of one creature through one run. Fill the yellow cells; everything else is derived.</t>
  </si>
  <si>
    <t/>
  </si>
  <si>
    <t>Starting level (permanentLevel)</t>
  </si>
  <si>
    <t>Type codes: combat · boss · event · shop · rest</t>
  </si>
  <si>
    <t>Star rating</t>
  </si>
  <si>
    <t>KO = 1 if this creature was knocked out at the end of the fight (earns no XP)</t>
  </si>
  <si>
    <t>Encounter #</t>
  </si>
  <si>
    <t>Floor</t>
  </si>
  <si>
    <t>Type</t>
  </si>
  <si>
    <t>KO?</t>
  </si>
  <si>
    <t>Band</t>
  </si>
  <si>
    <t>XP gained</t>
  </si>
  <si>
    <t>Cum. XP</t>
  </si>
  <si>
    <t>Level after</t>
  </si>
  <si>
    <t>combat</t>
  </si>
  <si>
    <t>event</t>
  </si>
  <si>
    <t>boss</t>
  </si>
  <si>
    <t>shop</t>
  </si>
  <si>
    <t>rest</t>
  </si>
  <si>
    <t>Final level</t>
  </si>
  <si>
    <t>Total XP</t>
  </si>
  <si>
    <t>XP wasted past cap</t>
  </si>
  <si>
    <t>Expected level from a mix of encounters, without listing each one. Yellow = inputs.</t>
  </si>
  <si>
    <t>Starting level</t>
  </si>
  <si>
    <t>Start floor</t>
  </si>
  <si>
    <t>Deepest floor reached</t>
  </si>
  <si>
    <t>Non-boss rooms played per 5-floor stretch</t>
  </si>
  <si>
    <t>pick-next skips floors; 4 floors exist per stretch, ~2–3 get played</t>
  </si>
  <si>
    <t>Share of those rooms that are combat</t>
  </si>
  <si>
    <t>RunGenerator fillerType: 50% combat / 20% shop / 15% rest / 15% event; pick-next dedups non-combat so combat is over-represented</t>
  </si>
  <si>
    <t>Share that are events</t>
  </si>
  <si>
    <t>Chance this creature is KO at end of a fight</t>
  </si>
  <si>
    <t>First floor</t>
  </si>
  <si>
    <t>Last floor</t>
  </si>
  <si>
    <t>Floors in range</t>
  </si>
  <si>
    <t>Boss fights</t>
  </si>
  <si>
    <t>Normal fights</t>
  </si>
  <si>
    <t>Events</t>
  </si>
  <si>
    <t>Expected XP</t>
  </si>
  <si>
    <t>Expected total XP</t>
  </si>
  <si>
    <t>Expected end level</t>
  </si>
  <si>
    <t>Uncapped level (if star allowed)</t>
  </si>
  <si>
    <t>XP to reach cap from start</t>
  </si>
  <si>
    <t>Level</t>
  </si>
  <si>
    <t>XP to next level</t>
  </si>
  <si>
    <t>Cum. XP from level 1</t>
  </si>
  <si>
    <t>Normal fights (band 1) from L1</t>
  </si>
  <si>
    <t>Normal fights (band 2) from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</si>
</sst>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5F6772"/>
    </font>
  </fonts>
  <fills count="4">
    <fill>
      <patternFill patternType="none"/>
    </fill>
    <fill>
      <patternFill patternType="gray125"/>
    </fill>
    <fill>
      <patternFill patternType="solid">
        <fgColor rgb="FF1E6E68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9" fontId="0" fillId="3" borderId="0" xfId="0" applyNumberFormat="1" applyFill="1"/>
    <xf numFmtId="0" fontId="2" fillId="0" borderId="0" xfId="0" applyFont="1"/>
    <xf numFmtId="0" fontId="3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34" customWidth="1"/>
    <col min="2" max="2" width="12" customWidth="1"/>
    <col min="3" max="3" width="7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8</v>
      </c>
      <c r="C2" t="s">
        <v>4</v>
      </c>
    </row>
    <row r="3" spans="1:3" x14ac:dyDescent="0.25">
      <c r="A3" t="s">
        <v>5</v>
      </c>
      <c r="B3" s="2">
        <v>5</v>
      </c>
      <c r="C3" t="s">
        <v>6</v>
      </c>
    </row>
    <row r="4" spans="1:3" x14ac:dyDescent="0.25">
      <c r="A4" t="s">
        <v>7</v>
      </c>
      <c r="B4" s="2">
        <v>20</v>
      </c>
      <c r="C4" t="s">
        <v>6</v>
      </c>
    </row>
    <row r="5" spans="1:3" x14ac:dyDescent="0.25">
      <c r="A5" t="s">
        <v>8</v>
      </c>
      <c r="B5" s="2">
        <v>10</v>
      </c>
      <c r="C5" t="s">
        <v>9</v>
      </c>
    </row>
    <row r="6" spans="1:3" x14ac:dyDescent="0.25">
      <c r="A6" t="s">
        <v>10</v>
      </c>
      <c r="B6" s="2">
        <v>12</v>
      </c>
      <c r="C6" t="s">
        <v>11</v>
      </c>
    </row>
    <row r="7" spans="1:3" x14ac:dyDescent="0.25">
      <c r="A7" t="s">
        <v>12</v>
      </c>
      <c r="B7" s="2">
        <v>10</v>
      </c>
      <c r="C7" t="s">
        <v>13</v>
      </c>
    </row>
    <row r="8" spans="1:3" x14ac:dyDescent="0.25">
      <c r="A8" t="s">
        <v>14</v>
      </c>
      <c r="B8" s="2">
        <v>5</v>
      </c>
      <c r="C8" t="s">
        <v>15</v>
      </c>
    </row>
    <row r="10" spans="1:3" x14ac:dyDescent="0.25">
      <c r="A10" s="1" t="s">
        <v>16</v>
      </c>
      <c r="B10" s="1" t="s">
        <v>17</v>
      </c>
      <c r="C10" s="1" t="s">
        <v>18</v>
      </c>
    </row>
    <row r="11" spans="1:2" x14ac:dyDescent="0.25">
      <c r="A11">
        <v>0</v>
      </c>
      <c r="B11" s="2">
        <v>5</v>
      </c>
    </row>
    <row r="12" spans="1:2" x14ac:dyDescent="0.25">
      <c r="A12">
        <v>1</v>
      </c>
      <c r="B12" s="2">
        <v>10</v>
      </c>
    </row>
    <row r="13" spans="1:2" x14ac:dyDescent="0.25">
      <c r="A13">
        <v>2</v>
      </c>
      <c r="B13" s="2">
        <v>20</v>
      </c>
    </row>
    <row r="14" spans="1:2" x14ac:dyDescent="0.25">
      <c r="A14">
        <v>3</v>
      </c>
      <c r="B14" s="2">
        <v>30</v>
      </c>
    </row>
    <row r="15" spans="1:2" x14ac:dyDescent="0.25">
      <c r="A15">
        <v>4</v>
      </c>
      <c r="B15" s="2">
        <v>40</v>
      </c>
    </row>
    <row r="16" spans="1:2" x14ac:dyDescent="0.25">
      <c r="A16">
        <v>5</v>
      </c>
      <c r="B16" s="2">
        <v>50</v>
      </c>
    </row>
    <row r="17" spans="1:2" x14ac:dyDescent="0.25">
      <c r="A17">
        <v>6</v>
      </c>
      <c r="B17" s="2">
        <v>60</v>
      </c>
    </row>
    <row r="18" spans="1:2" x14ac:dyDescent="0.25">
      <c r="A18">
        <v>7</v>
      </c>
      <c r="B18" s="2">
        <v>70</v>
      </c>
    </row>
    <row r="19" spans="1:2" x14ac:dyDescent="0.25">
      <c r="A19">
        <v>8</v>
      </c>
      <c r="B19" s="2">
        <v>80</v>
      </c>
    </row>
    <row r="20" spans="1:2" x14ac:dyDescent="0.25">
      <c r="A20">
        <v>9</v>
      </c>
      <c r="B20" s="2">
        <v>90</v>
      </c>
    </row>
    <row r="21" spans="1:2" x14ac:dyDescent="0.25">
      <c r="A21">
        <v>10</v>
      </c>
      <c r="B21" s="2">
        <v>95</v>
      </c>
    </row>
    <row r="22" spans="1:2" x14ac:dyDescent="0.25">
      <c r="A22">
        <v>11</v>
      </c>
      <c r="B22" s="2">
        <v>97</v>
      </c>
    </row>
    <row r="23" spans="1:2" x14ac:dyDescent="0.25">
      <c r="A23">
        <v>12</v>
      </c>
      <c r="B23" s="2">
        <v>99</v>
      </c>
    </row>
    <row r="25" spans="1:1" x14ac:dyDescent="0.25">
      <c r="A25" s="3" t="s">
        <v>19</v>
      </c>
    </row>
    <row r="26" spans="1:1" x14ac:dyDescent="0.25">
      <c r="A26" s="4" t="s">
        <v>20</v>
      </c>
    </row>
    <row r="27" spans="1:1" x14ac:dyDescent="0.25">
      <c r="A27" s="4" t="s">
        <v>21</v>
      </c>
    </row>
    <row r="28" spans="1:1" x14ac:dyDescent="0.25">
      <c r="A28" s="4" t="s">
        <v>22</v>
      </c>
    </row>
    <row r="29" spans="1:1" x14ac:dyDescent="0.25">
      <c r="A29" s="4" t="s">
        <v>23</v>
      </c>
    </row>
    <row r="30" spans="1:1" x14ac:dyDescent="0.25">
      <c r="A30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2" customWidth="1"/>
    <col min="4" max="4" width="8" customWidth="1"/>
    <col min="5" max="6" width="12" customWidth="1"/>
    <col min="7" max="7" width="10" customWidth="1"/>
    <col min="8" max="8" width="14" customWidth="1"/>
  </cols>
  <sheetData>
    <row r="1" spans="1:8" x14ac:dyDescent="0.25">
      <c r="A1" s="4" t="s">
        <v>25</v>
      </c>
      <c r="B1" t="s">
        <v>26</v>
      </c>
      <c r="C1" t="s">
        <v>26</v>
      </c>
      <c r="D1" t="s">
        <v>26</v>
      </c>
      <c r="E1" t="s">
        <v>26</v>
      </c>
      <c r="F1" t="s">
        <v>26</v>
      </c>
      <c r="G1" t="s">
        <v>26</v>
      </c>
      <c r="H1" t="s">
        <v>26</v>
      </c>
    </row>
    <row r="2" spans="1:4" x14ac:dyDescent="0.25">
      <c r="A2" t="s">
        <v>27</v>
      </c>
      <c r="B2" s="2">
        <v>1</v>
      </c>
      <c r="D2" s="4" t="s">
        <v>28</v>
      </c>
    </row>
    <row r="3" spans="1:4" x14ac:dyDescent="0.25">
      <c r="A3" t="s">
        <v>29</v>
      </c>
      <c r="B3" s="2">
        <v>0</v>
      </c>
      <c r="D3" s="4" t="s">
        <v>30</v>
      </c>
    </row>
    <row r="4" spans="1:2" x14ac:dyDescent="0.25">
      <c r="A4" t="s">
        <v>17</v>
      </c>
      <c r="B4">
        <f>VLOOKUP(B3,STAR_CAPS,2,FALSE)</f>
      </c>
    </row>
    <row r="6" spans="1:8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</row>
    <row r="7" spans="1:8" x14ac:dyDescent="0.25">
      <c r="A7">
        <v>1</v>
      </c>
      <c r="B7" s="2">
        <v>1</v>
      </c>
      <c r="C7" s="2" t="s">
        <v>39</v>
      </c>
      <c r="D7" s="2">
        <v>0</v>
      </c>
      <c r="E7">
        <f>IF(B7="","",INT((B7-1)/BAND_SIZE)+1)</f>
      </c>
      <c r="F7">
        <f>IF(B7="","",IF(D7=1,0,IF(C7="combat",XP_BASE+XP_NORMAL*E7,IF(C7="boss",XP_BASE+XP_BOSS*E7,IF(C7="event",XP_EVENT,0)))))</f>
      </c>
      <c r="G7">
        <f>IF(B7="","",0+F7)</f>
      </c>
      <c r="H7">
        <f>IF(B7="","",MIN($B$4,INT((1+SQRT(1+4*(2*G7/XP_PER_LEVEL+$B$2*($B$2-1))))/2)))</f>
      </c>
    </row>
    <row r="8" spans="1:8" x14ac:dyDescent="0.25">
      <c r="A8">
        <v>2</v>
      </c>
      <c r="B8" s="2">
        <v>2</v>
      </c>
      <c r="C8" s="2" t="s">
        <v>39</v>
      </c>
      <c r="D8" s="2">
        <v>0</v>
      </c>
      <c r="E8">
        <f>IF(B8="","",INT((B8-1)/BAND_SIZE)+1)</f>
      </c>
      <c r="F8">
        <f>IF(B8="","",IF(D8=1,0,IF(C8="combat",XP_BASE+XP_NORMAL*E8,IF(C8="boss",XP_BASE+XP_BOSS*E8,IF(C8="event",XP_EVENT,0)))))</f>
      </c>
      <c r="G8">
        <f>IF(B8="","",IF(G7="",0,G7)+F8)</f>
      </c>
      <c r="H8">
        <f>IF(B8="","",MIN($B$4,INT((1+SQRT(1+4*(2*G8/XP_PER_LEVEL+$B$2*($B$2-1))))/2)))</f>
      </c>
    </row>
    <row r="9" spans="1:8" x14ac:dyDescent="0.25">
      <c r="A9">
        <v>3</v>
      </c>
      <c r="B9" s="2">
        <v>4</v>
      </c>
      <c r="C9" s="2" t="s">
        <v>40</v>
      </c>
      <c r="D9" s="2">
        <v>0</v>
      </c>
      <c r="E9">
        <f>IF(B9="","",INT((B9-1)/BAND_SIZE)+1)</f>
      </c>
      <c r="F9">
        <f>IF(B9="","",IF(D9=1,0,IF(C9="combat",XP_BASE+XP_NORMAL*E9,IF(C9="boss",XP_BASE+XP_BOSS*E9,IF(C9="event",XP_EVENT,0)))))</f>
      </c>
      <c r="G9">
        <f>IF(B9="","",IF(G8="",0,G8)+F9)</f>
      </c>
      <c r="H9">
        <f>IF(B9="","",MIN($B$4,INT((1+SQRT(1+4*(2*G9/XP_PER_LEVEL+$B$2*($B$2-1))))/2)))</f>
      </c>
    </row>
    <row r="10" spans="1:8" x14ac:dyDescent="0.25">
      <c r="A10">
        <v>4</v>
      </c>
      <c r="B10" s="2">
        <v>5</v>
      </c>
      <c r="C10" s="2" t="s">
        <v>41</v>
      </c>
      <c r="D10" s="2">
        <v>0</v>
      </c>
      <c r="E10">
        <f>IF(B10="","",INT((B10-1)/BAND_SIZE)+1)</f>
      </c>
      <c r="F10">
        <f>IF(B10="","",IF(D10=1,0,IF(C10="combat",XP_BASE+XP_NORMAL*E10,IF(C10="boss",XP_BASE+XP_BOSS*E10,IF(C10="event",XP_EVENT,0)))))</f>
      </c>
      <c r="G10">
        <f>IF(B10="","",IF(G9="",0,G9)+F10)</f>
      </c>
      <c r="H10">
        <f>IF(B10="","",MIN($B$4,INT((1+SQRT(1+4*(2*G10/XP_PER_LEVEL+$B$2*($B$2-1))))/2)))</f>
      </c>
    </row>
    <row r="11" spans="1:8" x14ac:dyDescent="0.25">
      <c r="A11">
        <v>5</v>
      </c>
      <c r="B11" s="2">
        <v>6</v>
      </c>
      <c r="C11" s="2" t="s">
        <v>39</v>
      </c>
      <c r="D11" s="2">
        <v>0</v>
      </c>
      <c r="E11">
        <f>IF(B11="","",INT((B11-1)/BAND_SIZE)+1)</f>
      </c>
      <c r="F11">
        <f>IF(B11="","",IF(D11=1,0,IF(C11="combat",XP_BASE+XP_NORMAL*E11,IF(C11="boss",XP_BASE+XP_BOSS*E11,IF(C11="event",XP_EVENT,0)))))</f>
      </c>
      <c r="G11">
        <f>IF(B11="","",IF(G10="",0,G10)+F11)</f>
      </c>
      <c r="H11">
        <f>IF(B11="","",MIN($B$4,INT((1+SQRT(1+4*(2*G11/XP_PER_LEVEL+$B$2*($B$2-1))))/2)))</f>
      </c>
    </row>
    <row r="12" spans="1:8" x14ac:dyDescent="0.25">
      <c r="A12">
        <v>6</v>
      </c>
      <c r="B12" s="2">
        <v>8</v>
      </c>
      <c r="C12" s="2" t="s">
        <v>39</v>
      </c>
      <c r="D12" s="2">
        <v>0</v>
      </c>
      <c r="E12">
        <f>IF(B12="","",INT((B12-1)/BAND_SIZE)+1)</f>
      </c>
      <c r="F12">
        <f>IF(B12="","",IF(D12=1,0,IF(C12="combat",XP_BASE+XP_NORMAL*E12,IF(C12="boss",XP_BASE+XP_BOSS*E12,IF(C12="event",XP_EVENT,0)))))</f>
      </c>
      <c r="G12">
        <f>IF(B12="","",IF(G11="",0,G11)+F12)</f>
      </c>
      <c r="H12">
        <f>IF(B12="","",MIN($B$4,INT((1+SQRT(1+4*(2*G12/XP_PER_LEVEL+$B$2*($B$2-1))))/2)))</f>
      </c>
    </row>
    <row r="13" spans="1:8" x14ac:dyDescent="0.25">
      <c r="A13">
        <v>7</v>
      </c>
      <c r="B13" s="2">
        <v>9</v>
      </c>
      <c r="C13" s="2" t="s">
        <v>42</v>
      </c>
      <c r="D13" s="2">
        <v>0</v>
      </c>
      <c r="E13">
        <f>IF(B13="","",INT((B13-1)/BAND_SIZE)+1)</f>
      </c>
      <c r="F13">
        <f>IF(B13="","",IF(D13=1,0,IF(C13="combat",XP_BASE+XP_NORMAL*E13,IF(C13="boss",XP_BASE+XP_BOSS*E13,IF(C13="event",XP_EVENT,0)))))</f>
      </c>
      <c r="G13">
        <f>IF(B13="","",IF(G12="",0,G12)+F13)</f>
      </c>
      <c r="H13">
        <f>IF(B13="","",MIN($B$4,INT((1+SQRT(1+4*(2*G13/XP_PER_LEVEL+$B$2*($B$2-1))))/2)))</f>
      </c>
    </row>
    <row r="14" spans="1:8" x14ac:dyDescent="0.25">
      <c r="A14">
        <v>8</v>
      </c>
      <c r="B14" s="2">
        <v>10</v>
      </c>
      <c r="C14" s="2" t="s">
        <v>41</v>
      </c>
      <c r="D14" s="2">
        <v>0</v>
      </c>
      <c r="E14">
        <f>IF(B14="","",INT((B14-1)/BAND_SIZE)+1)</f>
      </c>
      <c r="F14">
        <f>IF(B14="","",IF(D14=1,0,IF(C14="combat",XP_BASE+XP_NORMAL*E14,IF(C14="boss",XP_BASE+XP_BOSS*E14,IF(C14="event",XP_EVENT,0)))))</f>
      </c>
      <c r="G14">
        <f>IF(B14="","",IF(G13="",0,G13)+F14)</f>
      </c>
      <c r="H14">
        <f>IF(B14="","",MIN($B$4,INT((1+SQRT(1+4*(2*G14/XP_PER_LEVEL+$B$2*($B$2-1))))/2)))</f>
      </c>
    </row>
    <row r="15" spans="1:8" x14ac:dyDescent="0.25">
      <c r="A15">
        <v>9</v>
      </c>
      <c r="B15" s="2">
        <v>11</v>
      </c>
      <c r="C15" s="2" t="s">
        <v>39</v>
      </c>
      <c r="D15" s="2">
        <v>0</v>
      </c>
      <c r="E15">
        <f>IF(B15="","",INT((B15-1)/BAND_SIZE)+1)</f>
      </c>
      <c r="F15">
        <f>IF(B15="","",IF(D15=1,0,IF(C15="combat",XP_BASE+XP_NORMAL*E15,IF(C15="boss",XP_BASE+XP_BOSS*E15,IF(C15="event",XP_EVENT,0)))))</f>
      </c>
      <c r="G15">
        <f>IF(B15="","",IF(G14="",0,G14)+F15)</f>
      </c>
      <c r="H15">
        <f>IF(B15="","",MIN($B$4,INT((1+SQRT(1+4*(2*G15/XP_PER_LEVEL+$B$2*($B$2-1))))/2)))</f>
      </c>
    </row>
    <row r="16" spans="1:8" x14ac:dyDescent="0.25">
      <c r="A16">
        <v>10</v>
      </c>
      <c r="B16" s="2">
        <v>12</v>
      </c>
      <c r="C16" s="2" t="s">
        <v>43</v>
      </c>
      <c r="D16" s="2">
        <v>0</v>
      </c>
      <c r="E16">
        <f>IF(B16="","",INT((B16-1)/BAND_SIZE)+1)</f>
      </c>
      <c r="F16">
        <f>IF(B16="","",IF(D16=1,0,IF(C16="combat",XP_BASE+XP_NORMAL*E16,IF(C16="boss",XP_BASE+XP_BOSS*E16,IF(C16="event",XP_EVENT,0)))))</f>
      </c>
      <c r="G16">
        <f>IF(B16="","",IF(G15="",0,G15)+F16)</f>
      </c>
      <c r="H16">
        <f>IF(B16="","",MIN($B$4,INT((1+SQRT(1+4*(2*G16/XP_PER_LEVEL+$B$2*($B$2-1))))/2)))</f>
      </c>
    </row>
    <row r="17" spans="1:8" x14ac:dyDescent="0.25">
      <c r="A17">
        <v>11</v>
      </c>
      <c r="B17" s="2">
        <v>14</v>
      </c>
      <c r="C17" s="2" t="s">
        <v>39</v>
      </c>
      <c r="D17" s="2">
        <v>0</v>
      </c>
      <c r="E17">
        <f>IF(B17="","",INT((B17-1)/BAND_SIZE)+1)</f>
      </c>
      <c r="F17">
        <f>IF(B17="","",IF(D17=1,0,IF(C17="combat",XP_BASE+XP_NORMAL*E17,IF(C17="boss",XP_BASE+XP_BOSS*E17,IF(C17="event",XP_EVENT,0)))))</f>
      </c>
      <c r="G17">
        <f>IF(B17="","",IF(G16="",0,G16)+F17)</f>
      </c>
      <c r="H17">
        <f>IF(B17="","",MIN($B$4,INT((1+SQRT(1+4*(2*G17/XP_PER_LEVEL+$B$2*($B$2-1))))/2)))</f>
      </c>
    </row>
    <row r="18" spans="1:8" x14ac:dyDescent="0.25">
      <c r="A18">
        <v>12</v>
      </c>
      <c r="B18" s="2">
        <v>15</v>
      </c>
      <c r="C18" s="2" t="s">
        <v>41</v>
      </c>
      <c r="D18" s="2">
        <v>0</v>
      </c>
      <c r="E18">
        <f>IF(B18="","",INT((B18-1)/BAND_SIZE)+1)</f>
      </c>
      <c r="F18">
        <f>IF(B18="","",IF(D18=1,0,IF(C18="combat",XP_BASE+XP_NORMAL*E18,IF(C18="boss",XP_BASE+XP_BOSS*E18,IF(C18="event",XP_EVENT,0)))))</f>
      </c>
      <c r="G18">
        <f>IF(B18="","",IF(G17="",0,G17)+F18)</f>
      </c>
      <c r="H18">
        <f>IF(B18="","",MIN($B$4,INT((1+SQRT(1+4*(2*G18/XP_PER_LEVEL+$B$2*($B$2-1))))/2)))</f>
      </c>
    </row>
    <row r="19" spans="1:8" x14ac:dyDescent="0.25">
      <c r="A19">
        <v>13</v>
      </c>
      <c r="B19" s="2">
        <v>16</v>
      </c>
      <c r="C19" s="2" t="s">
        <v>39</v>
      </c>
      <c r="D19" s="2">
        <v>0</v>
      </c>
      <c r="E19">
        <f>IF(B19="","",INT((B19-1)/BAND_SIZE)+1)</f>
      </c>
      <c r="F19">
        <f>IF(B19="","",IF(D19=1,0,IF(C19="combat",XP_BASE+XP_NORMAL*E19,IF(C19="boss",XP_BASE+XP_BOSS*E19,IF(C19="event",XP_EVENT,0)))))</f>
      </c>
      <c r="G19">
        <f>IF(B19="","",IF(G18="",0,G18)+F19)</f>
      </c>
      <c r="H19">
        <f>IF(B19="","",MIN($B$4,INT((1+SQRT(1+4*(2*G19/XP_PER_LEVEL+$B$2*($B$2-1))))/2)))</f>
      </c>
    </row>
    <row r="20" spans="1:8" x14ac:dyDescent="0.25">
      <c r="A20">
        <v>14</v>
      </c>
      <c r="B20" s="2">
        <v>17</v>
      </c>
      <c r="C20" s="2" t="s">
        <v>40</v>
      </c>
      <c r="D20" s="2">
        <v>0</v>
      </c>
      <c r="E20">
        <f>IF(B20="","",INT((B20-1)/BAND_SIZE)+1)</f>
      </c>
      <c r="F20">
        <f>IF(B20="","",IF(D20=1,0,IF(C20="combat",XP_BASE+XP_NORMAL*E20,IF(C20="boss",XP_BASE+XP_BOSS*E20,IF(C20="event",XP_EVENT,0)))))</f>
      </c>
      <c r="G20">
        <f>IF(B20="","",IF(G19="",0,G19)+F20)</f>
      </c>
      <c r="H20">
        <f>IF(B20="","",MIN($B$4,INT((1+SQRT(1+4*(2*G20/XP_PER_LEVEL+$B$2*($B$2-1))))/2)))</f>
      </c>
    </row>
    <row r="21" spans="1:8" x14ac:dyDescent="0.25">
      <c r="A21">
        <v>15</v>
      </c>
      <c r="B21" s="2">
        <v>19</v>
      </c>
      <c r="C21" s="2" t="s">
        <v>39</v>
      </c>
      <c r="D21" s="2">
        <v>0</v>
      </c>
      <c r="E21">
        <f>IF(B21="","",INT((B21-1)/BAND_SIZE)+1)</f>
      </c>
      <c r="F21">
        <f>IF(B21="","",IF(D21=1,0,IF(C21="combat",XP_BASE+XP_NORMAL*E21,IF(C21="boss",XP_BASE+XP_BOSS*E21,IF(C21="event",XP_EVENT,0)))))</f>
      </c>
      <c r="G21">
        <f>IF(B21="","",IF(G20="",0,G20)+F21)</f>
      </c>
      <c r="H21">
        <f>IF(B21="","",MIN($B$4,INT((1+SQRT(1+4*(2*G21/XP_PER_LEVEL+$B$2*($B$2-1))))/2)))</f>
      </c>
    </row>
    <row r="22" spans="1:8" x14ac:dyDescent="0.25">
      <c r="A22">
        <v>16</v>
      </c>
      <c r="B22" s="2">
        <v>20</v>
      </c>
      <c r="C22" s="2" t="s">
        <v>41</v>
      </c>
      <c r="D22" s="2">
        <v>0</v>
      </c>
      <c r="E22">
        <f>IF(B22="","",INT((B22-1)/BAND_SIZE)+1)</f>
      </c>
      <c r="F22">
        <f>IF(B22="","",IF(D22=1,0,IF(C22="combat",XP_BASE+XP_NORMAL*E22,IF(C22="boss",XP_BASE+XP_BOSS*E22,IF(C22="event",XP_EVENT,0)))))</f>
      </c>
      <c r="G22">
        <f>IF(B22="","",IF(G21="",0,G21)+F22)</f>
      </c>
      <c r="H22">
        <f>IF(B22="","",MIN($B$4,INT((1+SQRT(1+4*(2*G22/XP_PER_LEVEL+$B$2*($B$2-1))))/2)))</f>
      </c>
    </row>
    <row r="23" spans="1:8" x14ac:dyDescent="0.25">
      <c r="A23">
        <v>17</v>
      </c>
      <c r="B23" s="2"/>
      <c r="C23" s="2"/>
      <c r="D23" s="2"/>
      <c r="E23">
        <f>IF(B23="","",INT((B23-1)/BAND_SIZE)+1)</f>
      </c>
      <c r="F23">
        <f>IF(B23="","",IF(D23=1,0,IF(C23="combat",XP_BASE+XP_NORMAL*E23,IF(C23="boss",XP_BASE+XP_BOSS*E23,IF(C23="event",XP_EVENT,0)))))</f>
      </c>
      <c r="G23">
        <f>IF(B23="","",IF(G22="",0,G22)+F23)</f>
      </c>
      <c r="H23">
        <f>IF(B23="","",MIN($B$4,INT((1+SQRT(1+4*(2*G23/XP_PER_LEVEL+$B$2*($B$2-1))))/2)))</f>
      </c>
    </row>
    <row r="24" spans="1:8" x14ac:dyDescent="0.25">
      <c r="A24">
        <v>18</v>
      </c>
      <c r="B24" s="2"/>
      <c r="C24" s="2"/>
      <c r="D24" s="2"/>
      <c r="E24">
        <f>IF(B24="","",INT((B24-1)/BAND_SIZE)+1)</f>
      </c>
      <c r="F24">
        <f>IF(B24="","",IF(D24=1,0,IF(C24="combat",XP_BASE+XP_NORMAL*E24,IF(C24="boss",XP_BASE+XP_BOSS*E24,IF(C24="event",XP_EVENT,0)))))</f>
      </c>
      <c r="G24">
        <f>IF(B24="","",IF(G23="",0,G23)+F24)</f>
      </c>
      <c r="H24">
        <f>IF(B24="","",MIN($B$4,INT((1+SQRT(1+4*(2*G24/XP_PER_LEVEL+$B$2*($B$2-1))))/2)))</f>
      </c>
    </row>
    <row r="25" spans="1:8" x14ac:dyDescent="0.25">
      <c r="A25">
        <v>19</v>
      </c>
      <c r="B25" s="2"/>
      <c r="C25" s="2"/>
      <c r="D25" s="2"/>
      <c r="E25">
        <f>IF(B25="","",INT((B25-1)/BAND_SIZE)+1)</f>
      </c>
      <c r="F25">
        <f>IF(B25="","",IF(D25=1,0,IF(C25="combat",XP_BASE+XP_NORMAL*E25,IF(C25="boss",XP_BASE+XP_BOSS*E25,IF(C25="event",XP_EVENT,0)))))</f>
      </c>
      <c r="G25">
        <f>IF(B25="","",IF(G24="",0,G24)+F25)</f>
      </c>
      <c r="H25">
        <f>IF(B25="","",MIN($B$4,INT((1+SQRT(1+4*(2*G25/XP_PER_LEVEL+$B$2*($B$2-1))))/2)))</f>
      </c>
    </row>
    <row r="26" spans="1:8" x14ac:dyDescent="0.25">
      <c r="A26">
        <v>20</v>
      </c>
      <c r="B26" s="2"/>
      <c r="C26" s="2"/>
      <c r="D26" s="2"/>
      <c r="E26">
        <f>IF(B26="","",INT((B26-1)/BAND_SIZE)+1)</f>
      </c>
      <c r="F26">
        <f>IF(B26="","",IF(D26=1,0,IF(C26="combat",XP_BASE+XP_NORMAL*E26,IF(C26="boss",XP_BASE+XP_BOSS*E26,IF(C26="event",XP_EVENT,0)))))</f>
      </c>
      <c r="G26">
        <f>IF(B26="","",IF(G25="",0,G25)+F26)</f>
      </c>
      <c r="H26">
        <f>IF(B26="","",MIN($B$4,INT((1+SQRT(1+4*(2*G26/XP_PER_LEVEL+$B$2*($B$2-1))))/2)))</f>
      </c>
    </row>
    <row r="27" spans="1:8" x14ac:dyDescent="0.25">
      <c r="A27">
        <v>21</v>
      </c>
      <c r="B27" s="2"/>
      <c r="C27" s="2"/>
      <c r="D27" s="2"/>
      <c r="E27">
        <f>IF(B27="","",INT((B27-1)/BAND_SIZE)+1)</f>
      </c>
      <c r="F27">
        <f>IF(B27="","",IF(D27=1,0,IF(C27="combat",XP_BASE+XP_NORMAL*E27,IF(C27="boss",XP_BASE+XP_BOSS*E27,IF(C27="event",XP_EVENT,0)))))</f>
      </c>
      <c r="G27">
        <f>IF(B27="","",IF(G26="",0,G26)+F27)</f>
      </c>
      <c r="H27">
        <f>IF(B27="","",MIN($B$4,INT((1+SQRT(1+4*(2*G27/XP_PER_LEVEL+$B$2*($B$2-1))))/2)))</f>
      </c>
    </row>
    <row r="28" spans="1:8" x14ac:dyDescent="0.25">
      <c r="A28">
        <v>22</v>
      </c>
      <c r="B28" s="2"/>
      <c r="C28" s="2"/>
      <c r="D28" s="2"/>
      <c r="E28">
        <f>IF(B28="","",INT((B28-1)/BAND_SIZE)+1)</f>
      </c>
      <c r="F28">
        <f>IF(B28="","",IF(D28=1,0,IF(C28="combat",XP_BASE+XP_NORMAL*E28,IF(C28="boss",XP_BASE+XP_BOSS*E28,IF(C28="event",XP_EVENT,0)))))</f>
      </c>
      <c r="G28">
        <f>IF(B28="","",IF(G27="",0,G27)+F28)</f>
      </c>
      <c r="H28">
        <f>IF(B28="","",MIN($B$4,INT((1+SQRT(1+4*(2*G28/XP_PER_LEVEL+$B$2*($B$2-1))))/2)))</f>
      </c>
    </row>
    <row r="29" spans="1:8" x14ac:dyDescent="0.25">
      <c r="A29">
        <v>23</v>
      </c>
      <c r="B29" s="2"/>
      <c r="C29" s="2"/>
      <c r="D29" s="2"/>
      <c r="E29">
        <f>IF(B29="","",INT((B29-1)/BAND_SIZE)+1)</f>
      </c>
      <c r="F29">
        <f>IF(B29="","",IF(D29=1,0,IF(C29="combat",XP_BASE+XP_NORMAL*E29,IF(C29="boss",XP_BASE+XP_BOSS*E29,IF(C29="event",XP_EVENT,0)))))</f>
      </c>
      <c r="G29">
        <f>IF(B29="","",IF(G28="",0,G28)+F29)</f>
      </c>
      <c r="H29">
        <f>IF(B29="","",MIN($B$4,INT((1+SQRT(1+4*(2*G29/XP_PER_LEVEL+$B$2*($B$2-1))))/2)))</f>
      </c>
    </row>
    <row r="30" spans="1:8" x14ac:dyDescent="0.25">
      <c r="A30">
        <v>24</v>
      </c>
      <c r="B30" s="2"/>
      <c r="C30" s="2"/>
      <c r="D30" s="2"/>
      <c r="E30">
        <f>IF(B30="","",INT((B30-1)/BAND_SIZE)+1)</f>
      </c>
      <c r="F30">
        <f>IF(B30="","",IF(D30=1,0,IF(C30="combat",XP_BASE+XP_NORMAL*E30,IF(C30="boss",XP_BASE+XP_BOSS*E30,IF(C30="event",XP_EVENT,0)))))</f>
      </c>
      <c r="G30">
        <f>IF(B30="","",IF(G29="",0,G29)+F30)</f>
      </c>
      <c r="H30">
        <f>IF(B30="","",MIN($B$4,INT((1+SQRT(1+4*(2*G30/XP_PER_LEVEL+$B$2*($B$2-1))))/2)))</f>
      </c>
    </row>
    <row r="31" spans="1:8" x14ac:dyDescent="0.25">
      <c r="A31">
        <v>25</v>
      </c>
      <c r="B31" s="2"/>
      <c r="C31" s="2"/>
      <c r="D31" s="2"/>
      <c r="E31">
        <f>IF(B31="","",INT((B31-1)/BAND_SIZE)+1)</f>
      </c>
      <c r="F31">
        <f>IF(B31="","",IF(D31=1,0,IF(C31="combat",XP_BASE+XP_NORMAL*E31,IF(C31="boss",XP_BASE+XP_BOSS*E31,IF(C31="event",XP_EVENT,0)))))</f>
      </c>
      <c r="G31">
        <f>IF(B31="","",IF(G30="",0,G30)+F31)</f>
      </c>
      <c r="H31">
        <f>IF(B31="","",MIN($B$4,INT((1+SQRT(1+4*(2*G31/XP_PER_LEVEL+$B$2*($B$2-1))))/2)))</f>
      </c>
    </row>
    <row r="32" spans="1:8" x14ac:dyDescent="0.25">
      <c r="A32">
        <v>26</v>
      </c>
      <c r="B32" s="2"/>
      <c r="C32" s="2"/>
      <c r="D32" s="2"/>
      <c r="E32">
        <f>IF(B32="","",INT((B32-1)/BAND_SIZE)+1)</f>
      </c>
      <c r="F32">
        <f>IF(B32="","",IF(D32=1,0,IF(C32="combat",XP_BASE+XP_NORMAL*E32,IF(C32="boss",XP_BASE+XP_BOSS*E32,IF(C32="event",XP_EVENT,0)))))</f>
      </c>
      <c r="G32">
        <f>IF(B32="","",IF(G31="",0,G31)+F32)</f>
      </c>
      <c r="H32">
        <f>IF(B32="","",MIN($B$4,INT((1+SQRT(1+4*(2*G32/XP_PER_LEVEL+$B$2*($B$2-1))))/2)))</f>
      </c>
    </row>
    <row r="33" spans="1:8" x14ac:dyDescent="0.25">
      <c r="A33">
        <v>27</v>
      </c>
      <c r="B33" s="2"/>
      <c r="C33" s="2"/>
      <c r="D33" s="2"/>
      <c r="E33">
        <f>IF(B33="","",INT((B33-1)/BAND_SIZE)+1)</f>
      </c>
      <c r="F33">
        <f>IF(B33="","",IF(D33=1,0,IF(C33="combat",XP_BASE+XP_NORMAL*E33,IF(C33="boss",XP_BASE+XP_BOSS*E33,IF(C33="event",XP_EVENT,0)))))</f>
      </c>
      <c r="G33">
        <f>IF(B33="","",IF(G32="",0,G32)+F33)</f>
      </c>
      <c r="H33">
        <f>IF(B33="","",MIN($B$4,INT((1+SQRT(1+4*(2*G33/XP_PER_LEVEL+$B$2*($B$2-1))))/2)))</f>
      </c>
    </row>
    <row r="34" spans="1:8" x14ac:dyDescent="0.25">
      <c r="A34">
        <v>28</v>
      </c>
      <c r="B34" s="2"/>
      <c r="C34" s="2"/>
      <c r="D34" s="2"/>
      <c r="E34">
        <f>IF(B34="","",INT((B34-1)/BAND_SIZE)+1)</f>
      </c>
      <c r="F34">
        <f>IF(B34="","",IF(D34=1,0,IF(C34="combat",XP_BASE+XP_NORMAL*E34,IF(C34="boss",XP_BASE+XP_BOSS*E34,IF(C34="event",XP_EVENT,0)))))</f>
      </c>
      <c r="G34">
        <f>IF(B34="","",IF(G33="",0,G33)+F34)</f>
      </c>
      <c r="H34">
        <f>IF(B34="","",MIN($B$4,INT((1+SQRT(1+4*(2*G34/XP_PER_LEVEL+$B$2*($B$2-1))))/2)))</f>
      </c>
    </row>
    <row r="35" spans="1:8" x14ac:dyDescent="0.25">
      <c r="A35">
        <v>29</v>
      </c>
      <c r="B35" s="2"/>
      <c r="C35" s="2"/>
      <c r="D35" s="2"/>
      <c r="E35">
        <f>IF(B35="","",INT((B35-1)/BAND_SIZE)+1)</f>
      </c>
      <c r="F35">
        <f>IF(B35="","",IF(D35=1,0,IF(C35="combat",XP_BASE+XP_NORMAL*E35,IF(C35="boss",XP_BASE+XP_BOSS*E35,IF(C35="event",XP_EVENT,0)))))</f>
      </c>
      <c r="G35">
        <f>IF(B35="","",IF(G34="",0,G34)+F35)</f>
      </c>
      <c r="H35">
        <f>IF(B35="","",MIN($B$4,INT((1+SQRT(1+4*(2*G35/XP_PER_LEVEL+$B$2*($B$2-1))))/2)))</f>
      </c>
    </row>
    <row r="36" spans="1:8" x14ac:dyDescent="0.25">
      <c r="A36">
        <v>30</v>
      </c>
      <c r="B36" s="2"/>
      <c r="C36" s="2"/>
      <c r="D36" s="2"/>
      <c r="E36">
        <f>IF(B36="","",INT((B36-1)/BAND_SIZE)+1)</f>
      </c>
      <c r="F36">
        <f>IF(B36="","",IF(D36=1,0,IF(C36="combat",XP_BASE+XP_NORMAL*E36,IF(C36="boss",XP_BASE+XP_BOSS*E36,IF(C36="event",XP_EVENT,0)))))</f>
      </c>
      <c r="G36">
        <f>IF(B36="","",IF(G35="",0,G35)+F36)</f>
      </c>
      <c r="H36">
        <f>IF(B36="","",MIN($B$4,INT((1+SQRT(1+4*(2*G36/XP_PER_LEVEL+$B$2*($B$2-1))))/2)))</f>
      </c>
    </row>
    <row r="37" spans="1:8" x14ac:dyDescent="0.25">
      <c r="A37">
        <v>31</v>
      </c>
      <c r="B37" s="2"/>
      <c r="C37" s="2"/>
      <c r="D37" s="2"/>
      <c r="E37">
        <f>IF(B37="","",INT((B37-1)/BAND_SIZE)+1)</f>
      </c>
      <c r="F37">
        <f>IF(B37="","",IF(D37=1,0,IF(C37="combat",XP_BASE+XP_NORMAL*E37,IF(C37="boss",XP_BASE+XP_BOSS*E37,IF(C37="event",XP_EVENT,0)))))</f>
      </c>
      <c r="G37">
        <f>IF(B37="","",IF(G36="",0,G36)+F37)</f>
      </c>
      <c r="H37">
        <f>IF(B37="","",MIN($B$4,INT((1+SQRT(1+4*(2*G37/XP_PER_LEVEL+$B$2*($B$2-1))))/2)))</f>
      </c>
    </row>
    <row r="38" spans="1:8" x14ac:dyDescent="0.25">
      <c r="A38">
        <v>32</v>
      </c>
      <c r="B38" s="2"/>
      <c r="C38" s="2"/>
      <c r="D38" s="2"/>
      <c r="E38">
        <f>IF(B38="","",INT((B38-1)/BAND_SIZE)+1)</f>
      </c>
      <c r="F38">
        <f>IF(B38="","",IF(D38=1,0,IF(C38="combat",XP_BASE+XP_NORMAL*E38,IF(C38="boss",XP_BASE+XP_BOSS*E38,IF(C38="event",XP_EVENT,0)))))</f>
      </c>
      <c r="G38">
        <f>IF(B38="","",IF(G37="",0,G37)+F38)</f>
      </c>
      <c r="H38">
        <f>IF(B38="","",MIN($B$4,INT((1+SQRT(1+4*(2*G38/XP_PER_LEVEL+$B$2*($B$2-1))))/2)))</f>
      </c>
    </row>
    <row r="39" spans="1:8" x14ac:dyDescent="0.25">
      <c r="A39">
        <v>33</v>
      </c>
      <c r="B39" s="2"/>
      <c r="C39" s="2"/>
      <c r="D39" s="2"/>
      <c r="E39">
        <f>IF(B39="","",INT((B39-1)/BAND_SIZE)+1)</f>
      </c>
      <c r="F39">
        <f>IF(B39="","",IF(D39=1,0,IF(C39="combat",XP_BASE+XP_NORMAL*E39,IF(C39="boss",XP_BASE+XP_BOSS*E39,IF(C39="event",XP_EVENT,0)))))</f>
      </c>
      <c r="G39">
        <f>IF(B39="","",IF(G38="",0,G38)+F39)</f>
      </c>
      <c r="H39">
        <f>IF(B39="","",MIN($B$4,INT((1+SQRT(1+4*(2*G39/XP_PER_LEVEL+$B$2*($B$2-1))))/2)))</f>
      </c>
    </row>
    <row r="40" spans="1:8" x14ac:dyDescent="0.25">
      <c r="A40">
        <v>34</v>
      </c>
      <c r="B40" s="2"/>
      <c r="C40" s="2"/>
      <c r="D40" s="2"/>
      <c r="E40">
        <f>IF(B40="","",INT((B40-1)/BAND_SIZE)+1)</f>
      </c>
      <c r="F40">
        <f>IF(B40="","",IF(D40=1,0,IF(C40="combat",XP_BASE+XP_NORMAL*E40,IF(C40="boss",XP_BASE+XP_BOSS*E40,IF(C40="event",XP_EVENT,0)))))</f>
      </c>
      <c r="G40">
        <f>IF(B40="","",IF(G39="",0,G39)+F40)</f>
      </c>
      <c r="H40">
        <f>IF(B40="","",MIN($B$4,INT((1+SQRT(1+4*(2*G40/XP_PER_LEVEL+$B$2*($B$2-1))))/2)))</f>
      </c>
    </row>
    <row r="41" spans="1:8" x14ac:dyDescent="0.25">
      <c r="A41">
        <v>35</v>
      </c>
      <c r="B41" s="2"/>
      <c r="C41" s="2"/>
      <c r="D41" s="2"/>
      <c r="E41">
        <f>IF(B41="","",INT((B41-1)/BAND_SIZE)+1)</f>
      </c>
      <c r="F41">
        <f>IF(B41="","",IF(D41=1,0,IF(C41="combat",XP_BASE+XP_NORMAL*E41,IF(C41="boss",XP_BASE+XP_BOSS*E41,IF(C41="event",XP_EVENT,0)))))</f>
      </c>
      <c r="G41">
        <f>IF(B41="","",IF(G40="",0,G40)+F41)</f>
      </c>
      <c r="H41">
        <f>IF(B41="","",MIN($B$4,INT((1+SQRT(1+4*(2*G41/XP_PER_LEVEL+$B$2*($B$2-1))))/2)))</f>
      </c>
    </row>
    <row r="42" spans="1:8" x14ac:dyDescent="0.25">
      <c r="A42">
        <v>36</v>
      </c>
      <c r="B42" s="2"/>
      <c r="C42" s="2"/>
      <c r="D42" s="2"/>
      <c r="E42">
        <f>IF(B42="","",INT((B42-1)/BAND_SIZE)+1)</f>
      </c>
      <c r="F42">
        <f>IF(B42="","",IF(D42=1,0,IF(C42="combat",XP_BASE+XP_NORMAL*E42,IF(C42="boss",XP_BASE+XP_BOSS*E42,IF(C42="event",XP_EVENT,0)))))</f>
      </c>
      <c r="G42">
        <f>IF(B42="","",IF(G41="",0,G41)+F42)</f>
      </c>
      <c r="H42">
        <f>IF(B42="","",MIN($B$4,INT((1+SQRT(1+4*(2*G42/XP_PER_LEVEL+$B$2*($B$2-1))))/2)))</f>
      </c>
    </row>
    <row r="43" spans="1:8" x14ac:dyDescent="0.25">
      <c r="A43">
        <v>37</v>
      </c>
      <c r="B43" s="2"/>
      <c r="C43" s="2"/>
      <c r="D43" s="2"/>
      <c r="E43">
        <f>IF(B43="","",INT((B43-1)/BAND_SIZE)+1)</f>
      </c>
      <c r="F43">
        <f>IF(B43="","",IF(D43=1,0,IF(C43="combat",XP_BASE+XP_NORMAL*E43,IF(C43="boss",XP_BASE+XP_BOSS*E43,IF(C43="event",XP_EVENT,0)))))</f>
      </c>
      <c r="G43">
        <f>IF(B43="","",IF(G42="",0,G42)+F43)</f>
      </c>
      <c r="H43">
        <f>IF(B43="","",MIN($B$4,INT((1+SQRT(1+4*(2*G43/XP_PER_LEVEL+$B$2*($B$2-1))))/2)))</f>
      </c>
    </row>
    <row r="44" spans="1:8" x14ac:dyDescent="0.25">
      <c r="A44">
        <v>38</v>
      </c>
      <c r="B44" s="2"/>
      <c r="C44" s="2"/>
      <c r="D44" s="2"/>
      <c r="E44">
        <f>IF(B44="","",INT((B44-1)/BAND_SIZE)+1)</f>
      </c>
      <c r="F44">
        <f>IF(B44="","",IF(D44=1,0,IF(C44="combat",XP_BASE+XP_NORMAL*E44,IF(C44="boss",XP_BASE+XP_BOSS*E44,IF(C44="event",XP_EVENT,0)))))</f>
      </c>
      <c r="G44">
        <f>IF(B44="","",IF(G43="",0,G43)+F44)</f>
      </c>
      <c r="H44">
        <f>IF(B44="","",MIN($B$4,INT((1+SQRT(1+4*(2*G44/XP_PER_LEVEL+$B$2*($B$2-1))))/2)))</f>
      </c>
    </row>
    <row r="45" spans="1:8" x14ac:dyDescent="0.25">
      <c r="A45">
        <v>39</v>
      </c>
      <c r="B45" s="2"/>
      <c r="C45" s="2"/>
      <c r="D45" s="2"/>
      <c r="E45">
        <f>IF(B45="","",INT((B45-1)/BAND_SIZE)+1)</f>
      </c>
      <c r="F45">
        <f>IF(B45="","",IF(D45=1,0,IF(C45="combat",XP_BASE+XP_NORMAL*E45,IF(C45="boss",XP_BASE+XP_BOSS*E45,IF(C45="event",XP_EVENT,0)))))</f>
      </c>
      <c r="G45">
        <f>IF(B45="","",IF(G44="",0,G44)+F45)</f>
      </c>
      <c r="H45">
        <f>IF(B45="","",MIN($B$4,INT((1+SQRT(1+4*(2*G45/XP_PER_LEVEL+$B$2*($B$2-1))))/2)))</f>
      </c>
    </row>
    <row r="46" spans="1:8" x14ac:dyDescent="0.25">
      <c r="A46">
        <v>40</v>
      </c>
      <c r="B46" s="2"/>
      <c r="C46" s="2"/>
      <c r="D46" s="2"/>
      <c r="E46">
        <f>IF(B46="","",INT((B46-1)/BAND_SIZE)+1)</f>
      </c>
      <c r="F46">
        <f>IF(B46="","",IF(D46=1,0,IF(C46="combat",XP_BASE+XP_NORMAL*E46,IF(C46="boss",XP_BASE+XP_BOSS*E46,IF(C46="event",XP_EVENT,0)))))</f>
      </c>
      <c r="G46">
        <f>IF(B46="","",IF(G45="",0,G45)+F46)</f>
      </c>
      <c r="H46">
        <f>IF(B46="","",MIN($B$4,INT((1+SQRT(1+4*(2*G46/XP_PER_LEVEL+$B$2*($B$2-1))))/2)))</f>
      </c>
    </row>
    <row r="48" spans="1:2" x14ac:dyDescent="0.25">
      <c r="A48" s="3" t="s">
        <v>44</v>
      </c>
      <c r="B48">
        <f>IF(COUNT(G7:G46)=0,$B$2,LOOKUP(2,1/(G7:G46&lt;&gt;""),H7:H46))</f>
      </c>
    </row>
    <row r="49" spans="1:2" x14ac:dyDescent="0.25">
      <c r="A49" s="3" t="s">
        <v>45</v>
      </c>
      <c r="B49">
        <f>SUM(F7:F46)</f>
      </c>
    </row>
    <row r="50" spans="1:2" x14ac:dyDescent="0.25">
      <c r="A50" s="3" t="s">
        <v>46</v>
      </c>
      <c r="B50">
        <f>MAX(0,B49-XP_PER_LEVEL*($B$4*($B$4-1)/2-$B$2*($B$2-1)/2))</f>
      </c>
    </row>
  </sheetData>
  <dataValidations count="2">
    <dataValidation type="list" allowBlank="1" sqref="C10:C46">
      <formula1>"combat,boss,event,shop,rest"</formula1>
    </dataValidation>
    <dataValidation type="list" allowBlank="1" sqref="C7:C46">
      <formula1>"combat,boss,event,shop,rest"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30" customWidth="1"/>
    <col min="2" max="6" width="12" customWidth="1"/>
    <col min="7" max="8" width="14" customWidth="1"/>
  </cols>
  <sheetData>
    <row r="1" spans="1:1" x14ac:dyDescent="0.25">
      <c r="A1" s="4" t="s">
        <v>47</v>
      </c>
    </row>
    <row r="2" spans="1:2" x14ac:dyDescent="0.25">
      <c r="A2" t="s">
        <v>48</v>
      </c>
      <c r="B2" s="2">
        <v>1</v>
      </c>
    </row>
    <row r="3" spans="1:2" x14ac:dyDescent="0.25">
      <c r="A3" t="s">
        <v>29</v>
      </c>
      <c r="B3" s="2">
        <v>0</v>
      </c>
    </row>
    <row r="4" spans="1:2" x14ac:dyDescent="0.25">
      <c r="A4" t="s">
        <v>17</v>
      </c>
      <c r="B4">
        <f>VLOOKUP(B3,STAR_CAPS,2,FALSE)</f>
      </c>
    </row>
    <row r="5" spans="1:2" x14ac:dyDescent="0.25">
      <c r="A5" t="s">
        <v>49</v>
      </c>
      <c r="B5" s="2">
        <v>1</v>
      </c>
    </row>
    <row r="6" spans="1:2" x14ac:dyDescent="0.25">
      <c r="A6" t="s">
        <v>50</v>
      </c>
      <c r="B6" s="2">
        <v>20</v>
      </c>
    </row>
    <row r="7" spans="1:3" x14ac:dyDescent="0.25">
      <c r="A7" t="s">
        <v>51</v>
      </c>
      <c r="B7" s="2">
        <v>3</v>
      </c>
      <c r="C7" s="4" t="s">
        <v>52</v>
      </c>
    </row>
    <row r="8" spans="1:3" x14ac:dyDescent="0.25">
      <c r="A8" t="s">
        <v>53</v>
      </c>
      <c r="B8" s="2">
        <v>0.6</v>
      </c>
      <c r="C8" s="4" t="s">
        <v>54</v>
      </c>
    </row>
    <row r="9" spans="1:2" x14ac:dyDescent="0.25">
      <c r="A9" t="s">
        <v>55</v>
      </c>
      <c r="B9" s="2">
        <v>0.15</v>
      </c>
    </row>
    <row r="10" spans="1:2" x14ac:dyDescent="0.25">
      <c r="A10" t="s">
        <v>56</v>
      </c>
      <c r="B10" s="2">
        <v>0.1</v>
      </c>
    </row>
    <row r="12" spans="1:8" x14ac:dyDescent="0.25">
      <c r="A12" s="1" t="s">
        <v>35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  <c r="H12" s="1" t="s">
        <v>63</v>
      </c>
    </row>
    <row r="13" spans="1:8" x14ac:dyDescent="0.25">
      <c r="A13">
        <v>1</v>
      </c>
      <c r="B13">
        <f>MAX($B$5,(A13-1)*BAND_SIZE+1)</f>
      </c>
      <c r="C13">
        <f>MIN($B$6,A13*BAND_SIZE)</f>
      </c>
      <c r="D13">
        <f>MAX(0,C13-B13+1)</f>
      </c>
      <c r="E13">
        <f>IF(D13&lt;=0,0,INT(C13/BOSS_EVERY)-INT((B13-1)/BOSS_EVERY))</f>
      </c>
      <c r="F13" s="5">
        <f>IF(D13&lt;=0,0,(D13-E13)/(BOSS_EVERY-1)*$B$7*$B$8)</f>
      </c>
      <c r="G13" s="5">
        <f>IF(D13&lt;=0,0,(D13-E13)/(BOSS_EVERY-1)*$B$7*$B$9)</f>
      </c>
      <c r="H13" s="5">
        <f>(1-$B$10)*(E13*(XP_BASE+XP_BOSS*A13)+F13*(XP_BASE+XP_NORMAL*A13))+G13*XP_EVENT</f>
      </c>
    </row>
    <row r="14" spans="1:8" x14ac:dyDescent="0.25">
      <c r="A14">
        <v>2</v>
      </c>
      <c r="B14">
        <f>MAX($B$5,(A14-1)*BAND_SIZE+1)</f>
      </c>
      <c r="C14">
        <f>MIN($B$6,A14*BAND_SIZE)</f>
      </c>
      <c r="D14">
        <f>MAX(0,C14-B14+1)</f>
      </c>
      <c r="E14">
        <f>IF(D14&lt;=0,0,INT(C14/BOSS_EVERY)-INT((B14-1)/BOSS_EVERY))</f>
      </c>
      <c r="F14" s="5">
        <f>IF(D14&lt;=0,0,(D14-E14)/(BOSS_EVERY-1)*$B$7*$B$8)</f>
      </c>
      <c r="G14" s="5">
        <f>IF(D14&lt;=0,0,(D14-E14)/(BOSS_EVERY-1)*$B$7*$B$9)</f>
      </c>
      <c r="H14" s="5">
        <f>(1-$B$10)*(E14*(XP_BASE+XP_BOSS*A14)+F14*(XP_BASE+XP_NORMAL*A14))+G14*XP_EVENT</f>
      </c>
    </row>
    <row r="15" spans="1:8" x14ac:dyDescent="0.25">
      <c r="A15">
        <v>3</v>
      </c>
      <c r="B15">
        <f>MAX($B$5,(A15-1)*BAND_SIZE+1)</f>
      </c>
      <c r="C15">
        <f>MIN($B$6,A15*BAND_SIZE)</f>
      </c>
      <c r="D15">
        <f>MAX(0,C15-B15+1)</f>
      </c>
      <c r="E15">
        <f>IF(D15&lt;=0,0,INT(C15/BOSS_EVERY)-INT((B15-1)/BOSS_EVERY))</f>
      </c>
      <c r="F15" s="5">
        <f>IF(D15&lt;=0,0,(D15-E15)/(BOSS_EVERY-1)*$B$7*$B$8)</f>
      </c>
      <c r="G15" s="5">
        <f>IF(D15&lt;=0,0,(D15-E15)/(BOSS_EVERY-1)*$B$7*$B$9)</f>
      </c>
      <c r="H15" s="5">
        <f>(1-$B$10)*(E15*(XP_BASE+XP_BOSS*A15)+F15*(XP_BASE+XP_NORMAL*A15))+G15*XP_EVENT</f>
      </c>
    </row>
    <row r="16" spans="1:8" x14ac:dyDescent="0.25">
      <c r="A16">
        <v>4</v>
      </c>
      <c r="B16">
        <f>MAX($B$5,(A16-1)*BAND_SIZE+1)</f>
      </c>
      <c r="C16">
        <f>MIN($B$6,A16*BAND_SIZE)</f>
      </c>
      <c r="D16">
        <f>MAX(0,C16-B16+1)</f>
      </c>
      <c r="E16">
        <f>IF(D16&lt;=0,0,INT(C16/BOSS_EVERY)-INT((B16-1)/BOSS_EVERY))</f>
      </c>
      <c r="F16" s="5">
        <f>IF(D16&lt;=0,0,(D16-E16)/(BOSS_EVERY-1)*$B$7*$B$8)</f>
      </c>
      <c r="G16" s="5">
        <f>IF(D16&lt;=0,0,(D16-E16)/(BOSS_EVERY-1)*$B$7*$B$9)</f>
      </c>
      <c r="H16" s="5">
        <f>(1-$B$10)*(E16*(XP_BASE+XP_BOSS*A16)+F16*(XP_BASE+XP_NORMAL*A16))+G16*XP_EVENT</f>
      </c>
    </row>
    <row r="17" spans="1:8" x14ac:dyDescent="0.25">
      <c r="A17">
        <v>5</v>
      </c>
      <c r="B17">
        <f>MAX($B$5,(A17-1)*BAND_SIZE+1)</f>
      </c>
      <c r="C17">
        <f>MIN($B$6,A17*BAND_SIZE)</f>
      </c>
      <c r="D17">
        <f>MAX(0,C17-B17+1)</f>
      </c>
      <c r="E17">
        <f>IF(D17&lt;=0,0,INT(C17/BOSS_EVERY)-INT((B17-1)/BOSS_EVERY))</f>
      </c>
      <c r="F17" s="5">
        <f>IF(D17&lt;=0,0,(D17-E17)/(BOSS_EVERY-1)*$B$7*$B$8)</f>
      </c>
      <c r="G17" s="5">
        <f>IF(D17&lt;=0,0,(D17-E17)/(BOSS_EVERY-1)*$B$7*$B$9)</f>
      </c>
      <c r="H17" s="5">
        <f>(1-$B$10)*(E17*(XP_BASE+XP_BOSS*A17)+F17*(XP_BASE+XP_NORMAL*A17))+G17*XP_EVENT</f>
      </c>
    </row>
    <row r="18" spans="1:8" x14ac:dyDescent="0.25">
      <c r="A18">
        <v>6</v>
      </c>
      <c r="B18">
        <f>MAX($B$5,(A18-1)*BAND_SIZE+1)</f>
      </c>
      <c r="C18">
        <f>MIN($B$6,A18*BAND_SIZE)</f>
      </c>
      <c r="D18">
        <f>MAX(0,C18-B18+1)</f>
      </c>
      <c r="E18">
        <f>IF(D18&lt;=0,0,INT(C18/BOSS_EVERY)-INT((B18-1)/BOSS_EVERY))</f>
      </c>
      <c r="F18" s="5">
        <f>IF(D18&lt;=0,0,(D18-E18)/(BOSS_EVERY-1)*$B$7*$B$8)</f>
      </c>
      <c r="G18" s="5">
        <f>IF(D18&lt;=0,0,(D18-E18)/(BOSS_EVERY-1)*$B$7*$B$9)</f>
      </c>
      <c r="H18" s="5">
        <f>(1-$B$10)*(E18*(XP_BASE+XP_BOSS*A18)+F18*(XP_BASE+XP_NORMAL*A18))+G18*XP_EVENT</f>
      </c>
    </row>
    <row r="19" spans="1:8" x14ac:dyDescent="0.25">
      <c r="A19">
        <v>7</v>
      </c>
      <c r="B19">
        <f>MAX($B$5,(A19-1)*BAND_SIZE+1)</f>
      </c>
      <c r="C19">
        <f>MIN($B$6,A19*BAND_SIZE)</f>
      </c>
      <c r="D19">
        <f>MAX(0,C19-B19+1)</f>
      </c>
      <c r="E19">
        <f>IF(D19&lt;=0,0,INT(C19/BOSS_EVERY)-INT((B19-1)/BOSS_EVERY))</f>
      </c>
      <c r="F19" s="5">
        <f>IF(D19&lt;=0,0,(D19-E19)/(BOSS_EVERY-1)*$B$7*$B$8)</f>
      </c>
      <c r="G19" s="5">
        <f>IF(D19&lt;=0,0,(D19-E19)/(BOSS_EVERY-1)*$B$7*$B$9)</f>
      </c>
      <c r="H19" s="5">
        <f>(1-$B$10)*(E19*(XP_BASE+XP_BOSS*A19)+F19*(XP_BASE+XP_NORMAL*A19))+G19*XP_EVENT</f>
      </c>
    </row>
    <row r="20" spans="1:8" x14ac:dyDescent="0.25">
      <c r="A20">
        <v>8</v>
      </c>
      <c r="B20">
        <f>MAX($B$5,(A20-1)*BAND_SIZE+1)</f>
      </c>
      <c r="C20">
        <f>MIN($B$6,A20*BAND_SIZE)</f>
      </c>
      <c r="D20">
        <f>MAX(0,C20-B20+1)</f>
      </c>
      <c r="E20">
        <f>IF(D20&lt;=0,0,INT(C20/BOSS_EVERY)-INT((B20-1)/BOSS_EVERY))</f>
      </c>
      <c r="F20" s="5">
        <f>IF(D20&lt;=0,0,(D20-E20)/(BOSS_EVERY-1)*$B$7*$B$8)</f>
      </c>
      <c r="G20" s="5">
        <f>IF(D20&lt;=0,0,(D20-E20)/(BOSS_EVERY-1)*$B$7*$B$9)</f>
      </c>
      <c r="H20" s="5">
        <f>(1-$B$10)*(E20*(XP_BASE+XP_BOSS*A20)+F20*(XP_BASE+XP_NORMAL*A20))+G20*XP_EVENT</f>
      </c>
    </row>
    <row r="21" spans="1:8" x14ac:dyDescent="0.25">
      <c r="A21">
        <v>9</v>
      </c>
      <c r="B21">
        <f>MAX($B$5,(A21-1)*BAND_SIZE+1)</f>
      </c>
      <c r="C21">
        <f>MIN($B$6,A21*BAND_SIZE)</f>
      </c>
      <c r="D21">
        <f>MAX(0,C21-B21+1)</f>
      </c>
      <c r="E21">
        <f>IF(D21&lt;=0,0,INT(C21/BOSS_EVERY)-INT((B21-1)/BOSS_EVERY))</f>
      </c>
      <c r="F21" s="5">
        <f>IF(D21&lt;=0,0,(D21-E21)/(BOSS_EVERY-1)*$B$7*$B$8)</f>
      </c>
      <c r="G21" s="5">
        <f>IF(D21&lt;=0,0,(D21-E21)/(BOSS_EVERY-1)*$B$7*$B$9)</f>
      </c>
      <c r="H21" s="5">
        <f>(1-$B$10)*(E21*(XP_BASE+XP_BOSS*A21)+F21*(XP_BASE+XP_NORMAL*A21))+G21*XP_EVENT</f>
      </c>
    </row>
    <row r="22" spans="1:8" x14ac:dyDescent="0.25">
      <c r="A22">
        <v>10</v>
      </c>
      <c r="B22">
        <f>MAX($B$5,(A22-1)*BAND_SIZE+1)</f>
      </c>
      <c r="C22">
        <f>MIN($B$6,A22*BAND_SIZE)</f>
      </c>
      <c r="D22">
        <f>MAX(0,C22-B22+1)</f>
      </c>
      <c r="E22">
        <f>IF(D22&lt;=0,0,INT(C22/BOSS_EVERY)-INT((B22-1)/BOSS_EVERY))</f>
      </c>
      <c r="F22" s="5">
        <f>IF(D22&lt;=0,0,(D22-E22)/(BOSS_EVERY-1)*$B$7*$B$8)</f>
      </c>
      <c r="G22" s="5">
        <f>IF(D22&lt;=0,0,(D22-E22)/(BOSS_EVERY-1)*$B$7*$B$9)</f>
      </c>
      <c r="H22" s="5">
        <f>(1-$B$10)*(E22*(XP_BASE+XP_BOSS*A22)+F22*(XP_BASE+XP_NORMAL*A22))+G22*XP_EVENT</f>
      </c>
    </row>
    <row r="24" spans="1:2" x14ac:dyDescent="0.25">
      <c r="A24" s="3" t="s">
        <v>64</v>
      </c>
      <c r="B24" s="6">
        <f>SUM(H13:H22)</f>
      </c>
    </row>
    <row r="25" spans="1:2" x14ac:dyDescent="0.25">
      <c r="A25" s="3" t="s">
        <v>65</v>
      </c>
      <c r="B25">
        <f>MIN($B$4,INT((1+SQRT(1+4*(2*B24/XP_PER_LEVEL+$B$2*($B$2-1))))/2))</f>
      </c>
    </row>
    <row r="26" spans="1:2" x14ac:dyDescent="0.25">
      <c r="A26" s="3" t="s">
        <v>66</v>
      </c>
      <c r="B26">
        <f>INT((1+SQRT(1+4*(2*B24/XP_PER_LEVEL+$B$2*($B$2-1))))/2)</f>
      </c>
    </row>
    <row r="27" spans="1:2" x14ac:dyDescent="0.25">
      <c r="A27" s="3" t="s">
        <v>67</v>
      </c>
      <c r="B27">
        <f>XP_PER_LEVEL*($B$4*($B$4-1)/2-$B$2*($B$2-1)/2)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5" width="24" customWidth="1"/>
  </cols>
  <sheetData>
    <row r="1" spans="1:5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5">
      <c r="A2">
        <v>1</v>
      </c>
      <c r="B2">
        <f>A2*XP_PER_LEVEL</f>
      </c>
      <c r="C2">
        <f>XP_PER_LEVEL*A2*(A2-1)/2</f>
      </c>
      <c r="D2" s="5">
        <f>C2/(XP_BASE+XP_NORMAL*1)</f>
      </c>
      <c r="E2" s="5">
        <f>C2/(XP_BASE+XP_NORMAL*2)</f>
      </c>
    </row>
    <row r="3" spans="1:5" x14ac:dyDescent="0.25">
      <c r="A3">
        <v>2</v>
      </c>
      <c r="B3">
        <f>A3*XP_PER_LEVEL</f>
      </c>
      <c r="C3">
        <f>XP_PER_LEVEL*A3*(A3-1)/2</f>
      </c>
      <c r="D3" s="5">
        <f>C3/(XP_BASE+XP_NORMAL*1)</f>
      </c>
      <c r="E3" s="5">
        <f>C3/(XP_BASE+XP_NORMAL*2)</f>
      </c>
    </row>
    <row r="4" spans="1:5" x14ac:dyDescent="0.25">
      <c r="A4">
        <v>3</v>
      </c>
      <c r="B4">
        <f>A4*XP_PER_LEVEL</f>
      </c>
      <c r="C4">
        <f>XP_PER_LEVEL*A4*(A4-1)/2</f>
      </c>
      <c r="D4" s="5">
        <f>C4/(XP_BASE+XP_NORMAL*1)</f>
      </c>
      <c r="E4" s="5">
        <f>C4/(XP_BASE+XP_NORMAL*2)</f>
      </c>
    </row>
    <row r="5" spans="1:5" x14ac:dyDescent="0.25">
      <c r="A5">
        <v>4</v>
      </c>
      <c r="B5">
        <f>A5*XP_PER_LEVEL</f>
      </c>
      <c r="C5">
        <f>XP_PER_LEVEL*A5*(A5-1)/2</f>
      </c>
      <c r="D5" s="5">
        <f>C5/(XP_BASE+XP_NORMAL*1)</f>
      </c>
      <c r="E5" s="5">
        <f>C5/(XP_BASE+XP_NORMAL*2)</f>
      </c>
    </row>
    <row r="6" spans="1:5" x14ac:dyDescent="0.25">
      <c r="A6">
        <v>5</v>
      </c>
      <c r="B6">
        <f>A6*XP_PER_LEVEL</f>
      </c>
      <c r="C6">
        <f>XP_PER_LEVEL*A6*(A6-1)/2</f>
      </c>
      <c r="D6" s="5">
        <f>C6/(XP_BASE+XP_NORMAL*1)</f>
      </c>
      <c r="E6" s="5">
        <f>C6/(XP_BASE+XP_NORMAL*2)</f>
      </c>
    </row>
    <row r="7" spans="1:5" x14ac:dyDescent="0.25">
      <c r="A7">
        <v>6</v>
      </c>
      <c r="B7">
        <f>A7*XP_PER_LEVEL</f>
      </c>
      <c r="C7">
        <f>XP_PER_LEVEL*A7*(A7-1)/2</f>
      </c>
      <c r="D7" s="5">
        <f>C7/(XP_BASE+XP_NORMAL*1)</f>
      </c>
      <c r="E7" s="5">
        <f>C7/(XP_BASE+XP_NORMAL*2)</f>
      </c>
    </row>
    <row r="8" spans="1:5" x14ac:dyDescent="0.25">
      <c r="A8">
        <v>7</v>
      </c>
      <c r="B8">
        <f>A8*XP_PER_LEVEL</f>
      </c>
      <c r="C8">
        <f>XP_PER_LEVEL*A8*(A8-1)/2</f>
      </c>
      <c r="D8" s="5">
        <f>C8/(XP_BASE+XP_NORMAL*1)</f>
      </c>
      <c r="E8" s="5">
        <f>C8/(XP_BASE+XP_NORMAL*2)</f>
      </c>
    </row>
    <row r="9" spans="1:5" x14ac:dyDescent="0.25">
      <c r="A9">
        <v>8</v>
      </c>
      <c r="B9">
        <f>A9*XP_PER_LEVEL</f>
      </c>
      <c r="C9">
        <f>XP_PER_LEVEL*A9*(A9-1)/2</f>
      </c>
      <c r="D9" s="5">
        <f>C9/(XP_BASE+XP_NORMAL*1)</f>
      </c>
      <c r="E9" s="5">
        <f>C9/(XP_BASE+XP_NORMAL*2)</f>
      </c>
    </row>
    <row r="10" spans="1:5" x14ac:dyDescent="0.25">
      <c r="A10">
        <v>9</v>
      </c>
      <c r="B10">
        <f>A10*XP_PER_LEVEL</f>
      </c>
      <c r="C10">
        <f>XP_PER_LEVEL*A10*(A10-1)/2</f>
      </c>
      <c r="D10" s="5">
        <f>C10/(XP_BASE+XP_NORMAL*1)</f>
      </c>
      <c r="E10" s="5">
        <f>C10/(XP_BASE+XP_NORMAL*2)</f>
      </c>
    </row>
    <row r="11" spans="1:5" x14ac:dyDescent="0.25">
      <c r="A11">
        <v>10</v>
      </c>
      <c r="B11">
        <f>A11*XP_PER_LEVEL</f>
      </c>
      <c r="C11">
        <f>XP_PER_LEVEL*A11*(A11-1)/2</f>
      </c>
      <c r="D11" s="5">
        <f>C11/(XP_BASE+XP_NORMAL*1)</f>
      </c>
      <c r="E11" s="5">
        <f>C11/(XP_BASE+XP_NORMAL*2)</f>
      </c>
    </row>
    <row r="12" spans="1:5" x14ac:dyDescent="0.25">
      <c r="A12">
        <v>11</v>
      </c>
      <c r="B12">
        <f>A12*XP_PER_LEVEL</f>
      </c>
      <c r="C12">
        <f>XP_PER_LEVEL*A12*(A12-1)/2</f>
      </c>
      <c r="D12" s="5">
        <f>C12/(XP_BASE+XP_NORMAL*1)</f>
      </c>
      <c r="E12" s="5">
        <f>C12/(XP_BASE+XP_NORMAL*2)</f>
      </c>
    </row>
    <row r="13" spans="1:5" x14ac:dyDescent="0.25">
      <c r="A13">
        <v>12</v>
      </c>
      <c r="B13">
        <f>A13*XP_PER_LEVEL</f>
      </c>
      <c r="C13">
        <f>XP_PER_LEVEL*A13*(A13-1)/2</f>
      </c>
      <c r="D13" s="5">
        <f>C13/(XP_BASE+XP_NORMAL*1)</f>
      </c>
      <c r="E13" s="5">
        <f>C13/(XP_BASE+XP_NORMAL*2)</f>
      </c>
    </row>
    <row r="14" spans="1:5" x14ac:dyDescent="0.25">
      <c r="A14">
        <v>13</v>
      </c>
      <c r="B14">
        <f>A14*XP_PER_LEVEL</f>
      </c>
      <c r="C14">
        <f>XP_PER_LEVEL*A14*(A14-1)/2</f>
      </c>
      <c r="D14" s="5">
        <f>C14/(XP_BASE+XP_NORMAL*1)</f>
      </c>
      <c r="E14" s="5">
        <f>C14/(XP_BASE+XP_NORMAL*2)</f>
      </c>
    </row>
    <row r="15" spans="1:5" x14ac:dyDescent="0.25">
      <c r="A15">
        <v>14</v>
      </c>
      <c r="B15">
        <f>A15*XP_PER_LEVEL</f>
      </c>
      <c r="C15">
        <f>XP_PER_LEVEL*A15*(A15-1)/2</f>
      </c>
      <c r="D15" s="5">
        <f>C15/(XP_BASE+XP_NORMAL*1)</f>
      </c>
      <c r="E15" s="5">
        <f>C15/(XP_BASE+XP_NORMAL*2)</f>
      </c>
    </row>
    <row r="16" spans="1:5" x14ac:dyDescent="0.25">
      <c r="A16">
        <v>15</v>
      </c>
      <c r="B16">
        <f>A16*XP_PER_LEVEL</f>
      </c>
      <c r="C16">
        <f>XP_PER_LEVEL*A16*(A16-1)/2</f>
      </c>
      <c r="D16" s="5">
        <f>C16/(XP_BASE+XP_NORMAL*1)</f>
      </c>
      <c r="E16" s="5">
        <f>C16/(XP_BASE+XP_NORMAL*2)</f>
      </c>
    </row>
    <row r="17" spans="1:5" x14ac:dyDescent="0.25">
      <c r="A17">
        <v>16</v>
      </c>
      <c r="B17">
        <f>A17*XP_PER_LEVEL</f>
      </c>
      <c r="C17">
        <f>XP_PER_LEVEL*A17*(A17-1)/2</f>
      </c>
      <c r="D17" s="5">
        <f>C17/(XP_BASE+XP_NORMAL*1)</f>
      </c>
      <c r="E17" s="5">
        <f>C17/(XP_BASE+XP_NORMAL*2)</f>
      </c>
    </row>
    <row r="18" spans="1:5" x14ac:dyDescent="0.25">
      <c r="A18">
        <v>17</v>
      </c>
      <c r="B18">
        <f>A18*XP_PER_LEVEL</f>
      </c>
      <c r="C18">
        <f>XP_PER_LEVEL*A18*(A18-1)/2</f>
      </c>
      <c r="D18" s="5">
        <f>C18/(XP_BASE+XP_NORMAL*1)</f>
      </c>
      <c r="E18" s="5">
        <f>C18/(XP_BASE+XP_NORMAL*2)</f>
      </c>
    </row>
    <row r="19" spans="1:5" x14ac:dyDescent="0.25">
      <c r="A19">
        <v>18</v>
      </c>
      <c r="B19">
        <f>A19*XP_PER_LEVEL</f>
      </c>
      <c r="C19">
        <f>XP_PER_LEVEL*A19*(A19-1)/2</f>
      </c>
      <c r="D19" s="5">
        <f>C19/(XP_BASE+XP_NORMAL*1)</f>
      </c>
      <c r="E19" s="5">
        <f>C19/(XP_BASE+XP_NORMAL*2)</f>
      </c>
    </row>
    <row r="20" spans="1:5" x14ac:dyDescent="0.25">
      <c r="A20">
        <v>19</v>
      </c>
      <c r="B20">
        <f>A20*XP_PER_LEVEL</f>
      </c>
      <c r="C20">
        <f>XP_PER_LEVEL*A20*(A20-1)/2</f>
      </c>
      <c r="D20" s="5">
        <f>C20/(XP_BASE+XP_NORMAL*1)</f>
      </c>
      <c r="E20" s="5">
        <f>C20/(XP_BASE+XP_NORMAL*2)</f>
      </c>
    </row>
    <row r="21" spans="1:5" x14ac:dyDescent="0.25">
      <c r="A21">
        <v>20</v>
      </c>
      <c r="B21">
        <f>A21*XP_PER_LEVEL</f>
      </c>
      <c r="C21">
        <f>XP_PER_LEVEL*A21*(A21-1)/2</f>
      </c>
      <c r="D21" s="5">
        <f>C21/(XP_BASE+XP_NORMAL*1)</f>
      </c>
      <c r="E21" s="5">
        <f>C21/(XP_BASE+XP_NORMAL*2)</f>
      </c>
    </row>
    <row r="22" spans="1:5" x14ac:dyDescent="0.25">
      <c r="A22">
        <v>21</v>
      </c>
      <c r="B22">
        <f>A22*XP_PER_LEVEL</f>
      </c>
      <c r="C22">
        <f>XP_PER_LEVEL*A22*(A22-1)/2</f>
      </c>
      <c r="D22" s="5">
        <f>C22/(XP_BASE+XP_NORMAL*1)</f>
      </c>
      <c r="E22" s="5">
        <f>C22/(XP_BASE+XP_NORMAL*2)</f>
      </c>
    </row>
    <row r="23" spans="1:5" x14ac:dyDescent="0.25">
      <c r="A23">
        <v>22</v>
      </c>
      <c r="B23">
        <f>A23*XP_PER_LEVEL</f>
      </c>
      <c r="C23">
        <f>XP_PER_LEVEL*A23*(A23-1)/2</f>
      </c>
      <c r="D23" s="5">
        <f>C23/(XP_BASE+XP_NORMAL*1)</f>
      </c>
      <c r="E23" s="5">
        <f>C23/(XP_BASE+XP_NORMAL*2)</f>
      </c>
    </row>
    <row r="24" spans="1:5" x14ac:dyDescent="0.25">
      <c r="A24">
        <v>23</v>
      </c>
      <c r="B24">
        <f>A24*XP_PER_LEVEL</f>
      </c>
      <c r="C24">
        <f>XP_PER_LEVEL*A24*(A24-1)/2</f>
      </c>
      <c r="D24" s="5">
        <f>C24/(XP_BASE+XP_NORMAL*1)</f>
      </c>
      <c r="E24" s="5">
        <f>C24/(XP_BASE+XP_NORMAL*2)</f>
      </c>
    </row>
    <row r="25" spans="1:5" x14ac:dyDescent="0.25">
      <c r="A25">
        <v>24</v>
      </c>
      <c r="B25">
        <f>A25*XP_PER_LEVEL</f>
      </c>
      <c r="C25">
        <f>XP_PER_LEVEL*A25*(A25-1)/2</f>
      </c>
      <c r="D25" s="5">
        <f>C25/(XP_BASE+XP_NORMAL*1)</f>
      </c>
      <c r="E25" s="5">
        <f>C25/(XP_BASE+XP_NORMAL*2)</f>
      </c>
    </row>
    <row r="26" spans="1:5" x14ac:dyDescent="0.25">
      <c r="A26">
        <v>25</v>
      </c>
      <c r="B26">
        <f>A26*XP_PER_LEVEL</f>
      </c>
      <c r="C26">
        <f>XP_PER_LEVEL*A26*(A26-1)/2</f>
      </c>
      <c r="D26" s="5">
        <f>C26/(XP_BASE+XP_NORMAL*1)</f>
      </c>
      <c r="E26" s="5">
        <f>C26/(XP_BASE+XP_NORMAL*2)</f>
      </c>
    </row>
    <row r="27" spans="1:5" x14ac:dyDescent="0.25">
      <c r="A27">
        <v>26</v>
      </c>
      <c r="B27">
        <f>A27*XP_PER_LEVEL</f>
      </c>
      <c r="C27">
        <f>XP_PER_LEVEL*A27*(A27-1)/2</f>
      </c>
      <c r="D27" s="5">
        <f>C27/(XP_BASE+XP_NORMAL*1)</f>
      </c>
      <c r="E27" s="5">
        <f>C27/(XP_BASE+XP_NORMAL*2)</f>
      </c>
    </row>
    <row r="28" spans="1:5" x14ac:dyDescent="0.25">
      <c r="A28">
        <v>27</v>
      </c>
      <c r="B28">
        <f>A28*XP_PER_LEVEL</f>
      </c>
      <c r="C28">
        <f>XP_PER_LEVEL*A28*(A28-1)/2</f>
      </c>
      <c r="D28" s="5">
        <f>C28/(XP_BASE+XP_NORMAL*1)</f>
      </c>
      <c r="E28" s="5">
        <f>C28/(XP_BASE+XP_NORMAL*2)</f>
      </c>
    </row>
    <row r="29" spans="1:5" x14ac:dyDescent="0.25">
      <c r="A29">
        <v>28</v>
      </c>
      <c r="B29">
        <f>A29*XP_PER_LEVEL</f>
      </c>
      <c r="C29">
        <f>XP_PER_LEVEL*A29*(A29-1)/2</f>
      </c>
      <c r="D29" s="5">
        <f>C29/(XP_BASE+XP_NORMAL*1)</f>
      </c>
      <c r="E29" s="5">
        <f>C29/(XP_BASE+XP_NORMAL*2)</f>
      </c>
    </row>
    <row r="30" spans="1:5" x14ac:dyDescent="0.25">
      <c r="A30">
        <v>29</v>
      </c>
      <c r="B30">
        <f>A30*XP_PER_LEVEL</f>
      </c>
      <c r="C30">
        <f>XP_PER_LEVEL*A30*(A30-1)/2</f>
      </c>
      <c r="D30" s="5">
        <f>C30/(XP_BASE+XP_NORMAL*1)</f>
      </c>
      <c r="E30" s="5">
        <f>C30/(XP_BASE+XP_NORMAL*2)</f>
      </c>
    </row>
    <row r="31" spans="1:5" x14ac:dyDescent="0.25">
      <c r="A31">
        <v>30</v>
      </c>
      <c r="B31">
        <f>A31*XP_PER_LEVEL</f>
      </c>
      <c r="C31">
        <f>XP_PER_LEVEL*A31*(A31-1)/2</f>
      </c>
      <c r="D31" s="5">
        <f>C31/(XP_BASE+XP_NORMAL*1)</f>
      </c>
      <c r="E31" s="5">
        <f>C31/(XP_BASE+XP_NORMAL*2)</f>
      </c>
    </row>
    <row r="32" spans="1:5" x14ac:dyDescent="0.25">
      <c r="A32">
        <v>31</v>
      </c>
      <c r="B32">
        <f>A32*XP_PER_LEVEL</f>
      </c>
      <c r="C32">
        <f>XP_PER_LEVEL*A32*(A32-1)/2</f>
      </c>
      <c r="D32" s="5">
        <f>C32/(XP_BASE+XP_NORMAL*1)</f>
      </c>
      <c r="E32" s="5">
        <f>C32/(XP_BASE+XP_NORMAL*2)</f>
      </c>
    </row>
    <row r="33" spans="1:5" x14ac:dyDescent="0.25">
      <c r="A33">
        <v>32</v>
      </c>
      <c r="B33">
        <f>A33*XP_PER_LEVEL</f>
      </c>
      <c r="C33">
        <f>XP_PER_LEVEL*A33*(A33-1)/2</f>
      </c>
      <c r="D33" s="5">
        <f>C33/(XP_BASE+XP_NORMAL*1)</f>
      </c>
      <c r="E33" s="5">
        <f>C33/(XP_BASE+XP_NORMAL*2)</f>
      </c>
    </row>
    <row r="34" spans="1:5" x14ac:dyDescent="0.25">
      <c r="A34">
        <v>33</v>
      </c>
      <c r="B34">
        <f>A34*XP_PER_LEVEL</f>
      </c>
      <c r="C34">
        <f>XP_PER_LEVEL*A34*(A34-1)/2</f>
      </c>
      <c r="D34" s="5">
        <f>C34/(XP_BASE+XP_NORMAL*1)</f>
      </c>
      <c r="E34" s="5">
        <f>C34/(XP_BASE+XP_NORMAL*2)</f>
      </c>
    </row>
    <row r="35" spans="1:5" x14ac:dyDescent="0.25">
      <c r="A35">
        <v>34</v>
      </c>
      <c r="B35">
        <f>A35*XP_PER_LEVEL</f>
      </c>
      <c r="C35">
        <f>XP_PER_LEVEL*A35*(A35-1)/2</f>
      </c>
      <c r="D35" s="5">
        <f>C35/(XP_BASE+XP_NORMAL*1)</f>
      </c>
      <c r="E35" s="5">
        <f>C35/(XP_BASE+XP_NORMAL*2)</f>
      </c>
    </row>
    <row r="36" spans="1:5" x14ac:dyDescent="0.25">
      <c r="A36">
        <v>35</v>
      </c>
      <c r="B36">
        <f>A36*XP_PER_LEVEL</f>
      </c>
      <c r="C36">
        <f>XP_PER_LEVEL*A36*(A36-1)/2</f>
      </c>
      <c r="D36" s="5">
        <f>C36/(XP_BASE+XP_NORMAL*1)</f>
      </c>
      <c r="E36" s="5">
        <f>C36/(XP_BASE+XP_NORMAL*2)</f>
      </c>
    </row>
    <row r="37" spans="1:5" x14ac:dyDescent="0.25">
      <c r="A37">
        <v>36</v>
      </c>
      <c r="B37">
        <f>A37*XP_PER_LEVEL</f>
      </c>
      <c r="C37">
        <f>XP_PER_LEVEL*A37*(A37-1)/2</f>
      </c>
      <c r="D37" s="5">
        <f>C37/(XP_BASE+XP_NORMAL*1)</f>
      </c>
      <c r="E37" s="5">
        <f>C37/(XP_BASE+XP_NORMAL*2)</f>
      </c>
    </row>
    <row r="38" spans="1:5" x14ac:dyDescent="0.25">
      <c r="A38">
        <v>37</v>
      </c>
      <c r="B38">
        <f>A38*XP_PER_LEVEL</f>
      </c>
      <c r="C38">
        <f>XP_PER_LEVEL*A38*(A38-1)/2</f>
      </c>
      <c r="D38" s="5">
        <f>C38/(XP_BASE+XP_NORMAL*1)</f>
      </c>
      <c r="E38" s="5">
        <f>C38/(XP_BASE+XP_NORMAL*2)</f>
      </c>
    </row>
    <row r="39" spans="1:5" x14ac:dyDescent="0.25">
      <c r="A39">
        <v>38</v>
      </c>
      <c r="B39">
        <f>A39*XP_PER_LEVEL</f>
      </c>
      <c r="C39">
        <f>XP_PER_LEVEL*A39*(A39-1)/2</f>
      </c>
      <c r="D39" s="5">
        <f>C39/(XP_BASE+XP_NORMAL*1)</f>
      </c>
      <c r="E39" s="5">
        <f>C39/(XP_BASE+XP_NORMAL*2)</f>
      </c>
    </row>
    <row r="40" spans="1:5" x14ac:dyDescent="0.25">
      <c r="A40">
        <v>39</v>
      </c>
      <c r="B40">
        <f>A40*XP_PER_LEVEL</f>
      </c>
      <c r="C40">
        <f>XP_PER_LEVEL*A40*(A40-1)/2</f>
      </c>
      <c r="D40" s="5">
        <f>C40/(XP_BASE+XP_NORMAL*1)</f>
      </c>
      <c r="E40" s="5">
        <f>C40/(XP_BASE+XP_NORMAL*2)</f>
      </c>
    </row>
    <row r="41" spans="1:5" x14ac:dyDescent="0.25">
      <c r="A41">
        <v>40</v>
      </c>
      <c r="B41">
        <f>A41*XP_PER_LEVEL</f>
      </c>
      <c r="C41">
        <f>XP_PER_LEVEL*A41*(A41-1)/2</f>
      </c>
      <c r="D41" s="5">
        <f>C41/(XP_BASE+XP_NORMAL*1)</f>
      </c>
      <c r="E41" s="5">
        <f>C41/(XP_BASE+XP_NORMAL*2)</f>
      </c>
    </row>
    <row r="42" spans="1:5" x14ac:dyDescent="0.25">
      <c r="A42">
        <v>41</v>
      </c>
      <c r="B42">
        <f>A42*XP_PER_LEVEL</f>
      </c>
      <c r="C42">
        <f>XP_PER_LEVEL*A42*(A42-1)/2</f>
      </c>
      <c r="D42" s="5">
        <f>C42/(XP_BASE+XP_NORMAL*1)</f>
      </c>
      <c r="E42" s="5">
        <f>C42/(XP_BASE+XP_NORMAL*2)</f>
      </c>
    </row>
    <row r="43" spans="1:5" x14ac:dyDescent="0.25">
      <c r="A43">
        <v>42</v>
      </c>
      <c r="B43">
        <f>A43*XP_PER_LEVEL</f>
      </c>
      <c r="C43">
        <f>XP_PER_LEVEL*A43*(A43-1)/2</f>
      </c>
      <c r="D43" s="5">
        <f>C43/(XP_BASE+XP_NORMAL*1)</f>
      </c>
      <c r="E43" s="5">
        <f>C43/(XP_BASE+XP_NORMAL*2)</f>
      </c>
    </row>
    <row r="44" spans="1:5" x14ac:dyDescent="0.25">
      <c r="A44">
        <v>43</v>
      </c>
      <c r="B44">
        <f>A44*XP_PER_LEVEL</f>
      </c>
      <c r="C44">
        <f>XP_PER_LEVEL*A44*(A44-1)/2</f>
      </c>
      <c r="D44" s="5">
        <f>C44/(XP_BASE+XP_NORMAL*1)</f>
      </c>
      <c r="E44" s="5">
        <f>C44/(XP_BASE+XP_NORMAL*2)</f>
      </c>
    </row>
    <row r="45" spans="1:5" x14ac:dyDescent="0.25">
      <c r="A45">
        <v>44</v>
      </c>
      <c r="B45">
        <f>A45*XP_PER_LEVEL</f>
      </c>
      <c r="C45">
        <f>XP_PER_LEVEL*A45*(A45-1)/2</f>
      </c>
      <c r="D45" s="5">
        <f>C45/(XP_BASE+XP_NORMAL*1)</f>
      </c>
      <c r="E45" s="5">
        <f>C45/(XP_BASE+XP_NORMAL*2)</f>
      </c>
    </row>
    <row r="46" spans="1:5" x14ac:dyDescent="0.25">
      <c r="A46">
        <v>45</v>
      </c>
      <c r="B46">
        <f>A46*XP_PER_LEVEL</f>
      </c>
      <c r="C46">
        <f>XP_PER_LEVEL*A46*(A46-1)/2</f>
      </c>
      <c r="D46" s="5">
        <f>C46/(XP_BASE+XP_NORMAL*1)</f>
      </c>
      <c r="E46" s="5">
        <f>C46/(XP_BASE+XP_NORMAL*2)</f>
      </c>
    </row>
    <row r="47" spans="1:5" x14ac:dyDescent="0.25">
      <c r="A47">
        <v>46</v>
      </c>
      <c r="B47">
        <f>A47*XP_PER_LEVEL</f>
      </c>
      <c r="C47">
        <f>XP_PER_LEVEL*A47*(A47-1)/2</f>
      </c>
      <c r="D47" s="5">
        <f>C47/(XP_BASE+XP_NORMAL*1)</f>
      </c>
      <c r="E47" s="5">
        <f>C47/(XP_BASE+XP_NORMAL*2)</f>
      </c>
    </row>
    <row r="48" spans="1:5" x14ac:dyDescent="0.25">
      <c r="A48">
        <v>47</v>
      </c>
      <c r="B48">
        <f>A48*XP_PER_LEVEL</f>
      </c>
      <c r="C48">
        <f>XP_PER_LEVEL*A48*(A48-1)/2</f>
      </c>
      <c r="D48" s="5">
        <f>C48/(XP_BASE+XP_NORMAL*1)</f>
      </c>
      <c r="E48" s="5">
        <f>C48/(XP_BASE+XP_NORMAL*2)</f>
      </c>
    </row>
    <row r="49" spans="1:5" x14ac:dyDescent="0.25">
      <c r="A49">
        <v>48</v>
      </c>
      <c r="B49">
        <f>A49*XP_PER_LEVEL</f>
      </c>
      <c r="C49">
        <f>XP_PER_LEVEL*A49*(A49-1)/2</f>
      </c>
      <c r="D49" s="5">
        <f>C49/(XP_BASE+XP_NORMAL*1)</f>
      </c>
      <c r="E49" s="5">
        <f>C49/(XP_BASE+XP_NORMAL*2)</f>
      </c>
    </row>
    <row r="50" spans="1:5" x14ac:dyDescent="0.25">
      <c r="A50">
        <v>49</v>
      </c>
      <c r="B50">
        <f>A50*XP_PER_LEVEL</f>
      </c>
      <c r="C50">
        <f>XP_PER_LEVEL*A50*(A50-1)/2</f>
      </c>
      <c r="D50" s="5">
        <f>C50/(XP_BASE+XP_NORMAL*1)</f>
      </c>
      <c r="E50" s="5">
        <f>C50/(XP_BASE+XP_NORMAL*2)</f>
      </c>
    </row>
    <row r="51" spans="1:5" x14ac:dyDescent="0.25">
      <c r="A51">
        <v>50</v>
      </c>
      <c r="B51">
        <f>A51*XP_PER_LEVEL</f>
      </c>
      <c r="C51">
        <f>XP_PER_LEVEL*A51*(A51-1)/2</f>
      </c>
      <c r="D51" s="5">
        <f>C51/(XP_BASE+XP_NORMAL*1)</f>
      </c>
      <c r="E51" s="5">
        <f>C51/(XP_BASE+XP_NORMAL*2)</f>
      </c>
    </row>
    <row r="52" spans="1:5" x14ac:dyDescent="0.25">
      <c r="A52">
        <v>51</v>
      </c>
      <c r="B52">
        <f>A52*XP_PER_LEVEL</f>
      </c>
      <c r="C52">
        <f>XP_PER_LEVEL*A52*(A52-1)/2</f>
      </c>
      <c r="D52" s="5">
        <f>C52/(XP_BASE+XP_NORMAL*1)</f>
      </c>
      <c r="E52" s="5">
        <f>C52/(XP_BASE+XP_NORMAL*2)</f>
      </c>
    </row>
    <row r="53" spans="1:5" x14ac:dyDescent="0.25">
      <c r="A53">
        <v>52</v>
      </c>
      <c r="B53">
        <f>A53*XP_PER_LEVEL</f>
      </c>
      <c r="C53">
        <f>XP_PER_LEVEL*A53*(A53-1)/2</f>
      </c>
      <c r="D53" s="5">
        <f>C53/(XP_BASE+XP_NORMAL*1)</f>
      </c>
      <c r="E53" s="5">
        <f>C53/(XP_BASE+XP_NORMAL*2)</f>
      </c>
    </row>
    <row r="54" spans="1:5" x14ac:dyDescent="0.25">
      <c r="A54">
        <v>53</v>
      </c>
      <c r="B54">
        <f>A54*XP_PER_LEVEL</f>
      </c>
      <c r="C54">
        <f>XP_PER_LEVEL*A54*(A54-1)/2</f>
      </c>
      <c r="D54" s="5">
        <f>C54/(XP_BASE+XP_NORMAL*1)</f>
      </c>
      <c r="E54" s="5">
        <f>C54/(XP_BASE+XP_NORMAL*2)</f>
      </c>
    </row>
    <row r="55" spans="1:5" x14ac:dyDescent="0.25">
      <c r="A55">
        <v>54</v>
      </c>
      <c r="B55">
        <f>A55*XP_PER_LEVEL</f>
      </c>
      <c r="C55">
        <f>XP_PER_LEVEL*A55*(A55-1)/2</f>
      </c>
      <c r="D55" s="5">
        <f>C55/(XP_BASE+XP_NORMAL*1)</f>
      </c>
      <c r="E55" s="5">
        <f>C55/(XP_BASE+XP_NORMAL*2)</f>
      </c>
    </row>
    <row r="56" spans="1:5" x14ac:dyDescent="0.25">
      <c r="A56">
        <v>55</v>
      </c>
      <c r="B56">
        <f>A56*XP_PER_LEVEL</f>
      </c>
      <c r="C56">
        <f>XP_PER_LEVEL*A56*(A56-1)/2</f>
      </c>
      <c r="D56" s="5">
        <f>C56/(XP_BASE+XP_NORMAL*1)</f>
      </c>
      <c r="E56" s="5">
        <f>C56/(XP_BASE+XP_NORMAL*2)</f>
      </c>
    </row>
    <row r="57" spans="1:5" x14ac:dyDescent="0.25">
      <c r="A57">
        <v>56</v>
      </c>
      <c r="B57">
        <f>A57*XP_PER_LEVEL</f>
      </c>
      <c r="C57">
        <f>XP_PER_LEVEL*A57*(A57-1)/2</f>
      </c>
      <c r="D57" s="5">
        <f>C57/(XP_BASE+XP_NORMAL*1)</f>
      </c>
      <c r="E57" s="5">
        <f>C57/(XP_BASE+XP_NORMAL*2)</f>
      </c>
    </row>
    <row r="58" spans="1:5" x14ac:dyDescent="0.25">
      <c r="A58">
        <v>57</v>
      </c>
      <c r="B58">
        <f>A58*XP_PER_LEVEL</f>
      </c>
      <c r="C58">
        <f>XP_PER_LEVEL*A58*(A58-1)/2</f>
      </c>
      <c r="D58" s="5">
        <f>C58/(XP_BASE+XP_NORMAL*1)</f>
      </c>
      <c r="E58" s="5">
        <f>C58/(XP_BASE+XP_NORMAL*2)</f>
      </c>
    </row>
    <row r="59" spans="1:5" x14ac:dyDescent="0.25">
      <c r="A59">
        <v>58</v>
      </c>
      <c r="B59">
        <f>A59*XP_PER_LEVEL</f>
      </c>
      <c r="C59">
        <f>XP_PER_LEVEL*A59*(A59-1)/2</f>
      </c>
      <c r="D59" s="5">
        <f>C59/(XP_BASE+XP_NORMAL*1)</f>
      </c>
      <c r="E59" s="5">
        <f>C59/(XP_BASE+XP_NORMAL*2)</f>
      </c>
    </row>
    <row r="60" spans="1:5" x14ac:dyDescent="0.25">
      <c r="A60">
        <v>59</v>
      </c>
      <c r="B60">
        <f>A60*XP_PER_LEVEL</f>
      </c>
      <c r="C60">
        <f>XP_PER_LEVEL*A60*(A60-1)/2</f>
      </c>
      <c r="D60" s="5">
        <f>C60/(XP_BASE+XP_NORMAL*1)</f>
      </c>
      <c r="E60" s="5">
        <f>C60/(XP_BASE+XP_NORMAL*2)</f>
      </c>
    </row>
    <row r="61" spans="1:5" x14ac:dyDescent="0.25">
      <c r="A61">
        <v>60</v>
      </c>
      <c r="B61">
        <f>A61*XP_PER_LEVEL</f>
      </c>
      <c r="C61">
        <f>XP_PER_LEVEL*A61*(A61-1)/2</f>
      </c>
      <c r="D61" s="5">
        <f>C61/(XP_BASE+XP_NORMAL*1)</f>
      </c>
      <c r="E61" s="5">
        <f>C61/(XP_BASE+XP_NORMAL*2)</f>
      </c>
    </row>
    <row r="62" spans="1:5" x14ac:dyDescent="0.25">
      <c r="A62">
        <v>61</v>
      </c>
      <c r="B62">
        <f>A62*XP_PER_LEVEL</f>
      </c>
      <c r="C62">
        <f>XP_PER_LEVEL*A62*(A62-1)/2</f>
      </c>
      <c r="D62" s="5">
        <f>C62/(XP_BASE+XP_NORMAL*1)</f>
      </c>
      <c r="E62" s="5">
        <f>C62/(XP_BASE+XP_NORMAL*2)</f>
      </c>
    </row>
    <row r="63" spans="1:5" x14ac:dyDescent="0.25">
      <c r="A63">
        <v>62</v>
      </c>
      <c r="B63">
        <f>A63*XP_PER_LEVEL</f>
      </c>
      <c r="C63">
        <f>XP_PER_LEVEL*A63*(A63-1)/2</f>
      </c>
      <c r="D63" s="5">
        <f>C63/(XP_BASE+XP_NORMAL*1)</f>
      </c>
      <c r="E63" s="5">
        <f>C63/(XP_BASE+XP_NORMAL*2)</f>
      </c>
    </row>
    <row r="64" spans="1:5" x14ac:dyDescent="0.25">
      <c r="A64">
        <v>63</v>
      </c>
      <c r="B64">
        <f>A64*XP_PER_LEVEL</f>
      </c>
      <c r="C64">
        <f>XP_PER_LEVEL*A64*(A64-1)/2</f>
      </c>
      <c r="D64" s="5">
        <f>C64/(XP_BASE+XP_NORMAL*1)</f>
      </c>
      <c r="E64" s="5">
        <f>C64/(XP_BASE+XP_NORMAL*2)</f>
      </c>
    </row>
    <row r="65" spans="1:5" x14ac:dyDescent="0.25">
      <c r="A65">
        <v>64</v>
      </c>
      <c r="B65">
        <f>A65*XP_PER_LEVEL</f>
      </c>
      <c r="C65">
        <f>XP_PER_LEVEL*A65*(A65-1)/2</f>
      </c>
      <c r="D65" s="5">
        <f>C65/(XP_BASE+XP_NORMAL*1)</f>
      </c>
      <c r="E65" s="5">
        <f>C65/(XP_BASE+XP_NORMAL*2)</f>
      </c>
    </row>
    <row r="66" spans="1:5" x14ac:dyDescent="0.25">
      <c r="A66">
        <v>65</v>
      </c>
      <c r="B66">
        <f>A66*XP_PER_LEVEL</f>
      </c>
      <c r="C66">
        <f>XP_PER_LEVEL*A66*(A66-1)/2</f>
      </c>
      <c r="D66" s="5">
        <f>C66/(XP_BASE+XP_NORMAL*1)</f>
      </c>
      <c r="E66" s="5">
        <f>C66/(XP_BASE+XP_NORMAL*2)</f>
      </c>
    </row>
    <row r="67" spans="1:5" x14ac:dyDescent="0.25">
      <c r="A67">
        <v>66</v>
      </c>
      <c r="B67">
        <f>A67*XP_PER_LEVEL</f>
      </c>
      <c r="C67">
        <f>XP_PER_LEVEL*A67*(A67-1)/2</f>
      </c>
      <c r="D67" s="5">
        <f>C67/(XP_BASE+XP_NORMAL*1)</f>
      </c>
      <c r="E67" s="5">
        <f>C67/(XP_BASE+XP_NORMAL*2)</f>
      </c>
    </row>
    <row r="68" spans="1:5" x14ac:dyDescent="0.25">
      <c r="A68">
        <v>67</v>
      </c>
      <c r="B68">
        <f>A68*XP_PER_LEVEL</f>
      </c>
      <c r="C68">
        <f>XP_PER_LEVEL*A68*(A68-1)/2</f>
      </c>
      <c r="D68" s="5">
        <f>C68/(XP_BASE+XP_NORMAL*1)</f>
      </c>
      <c r="E68" s="5">
        <f>C68/(XP_BASE+XP_NORMAL*2)</f>
      </c>
    </row>
    <row r="69" spans="1:5" x14ac:dyDescent="0.25">
      <c r="A69">
        <v>68</v>
      </c>
      <c r="B69">
        <f>A69*XP_PER_LEVEL</f>
      </c>
      <c r="C69">
        <f>XP_PER_LEVEL*A69*(A69-1)/2</f>
      </c>
      <c r="D69" s="5">
        <f>C69/(XP_BASE+XP_NORMAL*1)</f>
      </c>
      <c r="E69" s="5">
        <f>C69/(XP_BASE+XP_NORMAL*2)</f>
      </c>
    </row>
    <row r="70" spans="1:5" x14ac:dyDescent="0.25">
      <c r="A70">
        <v>69</v>
      </c>
      <c r="B70">
        <f>A70*XP_PER_LEVEL</f>
      </c>
      <c r="C70">
        <f>XP_PER_LEVEL*A70*(A70-1)/2</f>
      </c>
      <c r="D70" s="5">
        <f>C70/(XP_BASE+XP_NORMAL*1)</f>
      </c>
      <c r="E70" s="5">
        <f>C70/(XP_BASE+XP_NORMAL*2)</f>
      </c>
    </row>
    <row r="71" spans="1:5" x14ac:dyDescent="0.25">
      <c r="A71">
        <v>70</v>
      </c>
      <c r="B71">
        <f>A71*XP_PER_LEVEL</f>
      </c>
      <c r="C71">
        <f>XP_PER_LEVEL*A71*(A71-1)/2</f>
      </c>
      <c r="D71" s="5">
        <f>C71/(XP_BASE+XP_NORMAL*1)</f>
      </c>
      <c r="E71" s="5">
        <f>C71/(XP_BASE+XP_NORMAL*2)</f>
      </c>
    </row>
    <row r="72" spans="1:5" x14ac:dyDescent="0.25">
      <c r="A72">
        <v>71</v>
      </c>
      <c r="B72">
        <f>A72*XP_PER_LEVEL</f>
      </c>
      <c r="C72">
        <f>XP_PER_LEVEL*A72*(A72-1)/2</f>
      </c>
      <c r="D72" s="5">
        <f>C72/(XP_BASE+XP_NORMAL*1)</f>
      </c>
      <c r="E72" s="5">
        <f>C72/(XP_BASE+XP_NORMAL*2)</f>
      </c>
    </row>
    <row r="73" spans="1:5" x14ac:dyDescent="0.25">
      <c r="A73">
        <v>72</v>
      </c>
      <c r="B73">
        <f>A73*XP_PER_LEVEL</f>
      </c>
      <c r="C73">
        <f>XP_PER_LEVEL*A73*(A73-1)/2</f>
      </c>
      <c r="D73" s="5">
        <f>C73/(XP_BASE+XP_NORMAL*1)</f>
      </c>
      <c r="E73" s="5">
        <f>C73/(XP_BASE+XP_NORMAL*2)</f>
      </c>
    </row>
    <row r="74" spans="1:5" x14ac:dyDescent="0.25">
      <c r="A74">
        <v>73</v>
      </c>
      <c r="B74">
        <f>A74*XP_PER_LEVEL</f>
      </c>
      <c r="C74">
        <f>XP_PER_LEVEL*A74*(A74-1)/2</f>
      </c>
      <c r="D74" s="5">
        <f>C74/(XP_BASE+XP_NORMAL*1)</f>
      </c>
      <c r="E74" s="5">
        <f>C74/(XP_BASE+XP_NORMAL*2)</f>
      </c>
    </row>
    <row r="75" spans="1:5" x14ac:dyDescent="0.25">
      <c r="A75">
        <v>74</v>
      </c>
      <c r="B75">
        <f>A75*XP_PER_LEVEL</f>
      </c>
      <c r="C75">
        <f>XP_PER_LEVEL*A75*(A75-1)/2</f>
      </c>
      <c r="D75" s="5">
        <f>C75/(XP_BASE+XP_NORMAL*1)</f>
      </c>
      <c r="E75" s="5">
        <f>C75/(XP_BASE+XP_NORMAL*2)</f>
      </c>
    </row>
    <row r="76" spans="1:5" x14ac:dyDescent="0.25">
      <c r="A76">
        <v>75</v>
      </c>
      <c r="B76">
        <f>A76*XP_PER_LEVEL</f>
      </c>
      <c r="C76">
        <f>XP_PER_LEVEL*A76*(A76-1)/2</f>
      </c>
      <c r="D76" s="5">
        <f>C76/(XP_BASE+XP_NORMAL*1)</f>
      </c>
      <c r="E76" s="5">
        <f>C76/(XP_BASE+XP_NORMAL*2)</f>
      </c>
    </row>
    <row r="77" spans="1:5" x14ac:dyDescent="0.25">
      <c r="A77">
        <v>76</v>
      </c>
      <c r="B77">
        <f>A77*XP_PER_LEVEL</f>
      </c>
      <c r="C77">
        <f>XP_PER_LEVEL*A77*(A77-1)/2</f>
      </c>
      <c r="D77" s="5">
        <f>C77/(XP_BASE+XP_NORMAL*1)</f>
      </c>
      <c r="E77" s="5">
        <f>C77/(XP_BASE+XP_NORMAL*2)</f>
      </c>
    </row>
    <row r="78" spans="1:5" x14ac:dyDescent="0.25">
      <c r="A78">
        <v>77</v>
      </c>
      <c r="B78">
        <f>A78*XP_PER_LEVEL</f>
      </c>
      <c r="C78">
        <f>XP_PER_LEVEL*A78*(A78-1)/2</f>
      </c>
      <c r="D78" s="5">
        <f>C78/(XP_BASE+XP_NORMAL*1)</f>
      </c>
      <c r="E78" s="5">
        <f>C78/(XP_BASE+XP_NORMAL*2)</f>
      </c>
    </row>
    <row r="79" spans="1:5" x14ac:dyDescent="0.25">
      <c r="A79">
        <v>78</v>
      </c>
      <c r="B79">
        <f>A79*XP_PER_LEVEL</f>
      </c>
      <c r="C79">
        <f>XP_PER_LEVEL*A79*(A79-1)/2</f>
      </c>
      <c r="D79" s="5">
        <f>C79/(XP_BASE+XP_NORMAL*1)</f>
      </c>
      <c r="E79" s="5">
        <f>C79/(XP_BASE+XP_NORMAL*2)</f>
      </c>
    </row>
    <row r="80" spans="1:5" x14ac:dyDescent="0.25">
      <c r="A80">
        <v>79</v>
      </c>
      <c r="B80">
        <f>A80*XP_PER_LEVEL</f>
      </c>
      <c r="C80">
        <f>XP_PER_LEVEL*A80*(A80-1)/2</f>
      </c>
      <c r="D80" s="5">
        <f>C80/(XP_BASE+XP_NORMAL*1)</f>
      </c>
      <c r="E80" s="5">
        <f>C80/(XP_BASE+XP_NORMAL*2)</f>
      </c>
    </row>
    <row r="81" spans="1:5" x14ac:dyDescent="0.25">
      <c r="A81">
        <v>80</v>
      </c>
      <c r="B81">
        <f>A81*XP_PER_LEVEL</f>
      </c>
      <c r="C81">
        <f>XP_PER_LEVEL*A81*(A81-1)/2</f>
      </c>
      <c r="D81" s="5">
        <f>C81/(XP_BASE+XP_NORMAL*1)</f>
      </c>
      <c r="E81" s="5">
        <f>C81/(XP_BASE+XP_NORMAL*2)</f>
      </c>
    </row>
    <row r="82" spans="1:5" x14ac:dyDescent="0.25">
      <c r="A82">
        <v>81</v>
      </c>
      <c r="B82">
        <f>A82*XP_PER_LEVEL</f>
      </c>
      <c r="C82">
        <f>XP_PER_LEVEL*A82*(A82-1)/2</f>
      </c>
      <c r="D82" s="5">
        <f>C82/(XP_BASE+XP_NORMAL*1)</f>
      </c>
      <c r="E82" s="5">
        <f>C82/(XP_BASE+XP_NORMAL*2)</f>
      </c>
    </row>
    <row r="83" spans="1:5" x14ac:dyDescent="0.25">
      <c r="A83">
        <v>82</v>
      </c>
      <c r="B83">
        <f>A83*XP_PER_LEVEL</f>
      </c>
      <c r="C83">
        <f>XP_PER_LEVEL*A83*(A83-1)/2</f>
      </c>
      <c r="D83" s="5">
        <f>C83/(XP_BASE+XP_NORMAL*1)</f>
      </c>
      <c r="E83" s="5">
        <f>C83/(XP_BASE+XP_NORMAL*2)</f>
      </c>
    </row>
    <row r="84" spans="1:5" x14ac:dyDescent="0.25">
      <c r="A84">
        <v>83</v>
      </c>
      <c r="B84">
        <f>A84*XP_PER_LEVEL</f>
      </c>
      <c r="C84">
        <f>XP_PER_LEVEL*A84*(A84-1)/2</f>
      </c>
      <c r="D84" s="5">
        <f>C84/(XP_BASE+XP_NORMAL*1)</f>
      </c>
      <c r="E84" s="5">
        <f>C84/(XP_BASE+XP_NORMAL*2)</f>
      </c>
    </row>
    <row r="85" spans="1:5" x14ac:dyDescent="0.25">
      <c r="A85">
        <v>84</v>
      </c>
      <c r="B85">
        <f>A85*XP_PER_LEVEL</f>
      </c>
      <c r="C85">
        <f>XP_PER_LEVEL*A85*(A85-1)/2</f>
      </c>
      <c r="D85" s="5">
        <f>C85/(XP_BASE+XP_NORMAL*1)</f>
      </c>
      <c r="E85" s="5">
        <f>C85/(XP_BASE+XP_NORMAL*2)</f>
      </c>
    </row>
    <row r="86" spans="1:5" x14ac:dyDescent="0.25">
      <c r="A86">
        <v>85</v>
      </c>
      <c r="B86">
        <f>A86*XP_PER_LEVEL</f>
      </c>
      <c r="C86">
        <f>XP_PER_LEVEL*A86*(A86-1)/2</f>
      </c>
      <c r="D86" s="5">
        <f>C86/(XP_BASE+XP_NORMAL*1)</f>
      </c>
      <c r="E86" s="5">
        <f>C86/(XP_BASE+XP_NORMAL*2)</f>
      </c>
    </row>
    <row r="87" spans="1:5" x14ac:dyDescent="0.25">
      <c r="A87">
        <v>86</v>
      </c>
      <c r="B87">
        <f>A87*XP_PER_LEVEL</f>
      </c>
      <c r="C87">
        <f>XP_PER_LEVEL*A87*(A87-1)/2</f>
      </c>
      <c r="D87" s="5">
        <f>C87/(XP_BASE+XP_NORMAL*1)</f>
      </c>
      <c r="E87" s="5">
        <f>C87/(XP_BASE+XP_NORMAL*2)</f>
      </c>
    </row>
    <row r="88" spans="1:5" x14ac:dyDescent="0.25">
      <c r="A88">
        <v>87</v>
      </c>
      <c r="B88">
        <f>A88*XP_PER_LEVEL</f>
      </c>
      <c r="C88">
        <f>XP_PER_LEVEL*A88*(A88-1)/2</f>
      </c>
      <c r="D88" s="5">
        <f>C88/(XP_BASE+XP_NORMAL*1)</f>
      </c>
      <c r="E88" s="5">
        <f>C88/(XP_BASE+XP_NORMAL*2)</f>
      </c>
    </row>
    <row r="89" spans="1:5" x14ac:dyDescent="0.25">
      <c r="A89">
        <v>88</v>
      </c>
      <c r="B89">
        <f>A89*XP_PER_LEVEL</f>
      </c>
      <c r="C89">
        <f>XP_PER_LEVEL*A89*(A89-1)/2</f>
      </c>
      <c r="D89" s="5">
        <f>C89/(XP_BASE+XP_NORMAL*1)</f>
      </c>
      <c r="E89" s="5">
        <f>C89/(XP_BASE+XP_NORMAL*2)</f>
      </c>
    </row>
    <row r="90" spans="1:5" x14ac:dyDescent="0.25">
      <c r="A90">
        <v>89</v>
      </c>
      <c r="B90">
        <f>A90*XP_PER_LEVEL</f>
      </c>
      <c r="C90">
        <f>XP_PER_LEVEL*A90*(A90-1)/2</f>
      </c>
      <c r="D90" s="5">
        <f>C90/(XP_BASE+XP_NORMAL*1)</f>
      </c>
      <c r="E90" s="5">
        <f>C90/(XP_BASE+XP_NORMAL*2)</f>
      </c>
    </row>
    <row r="91" spans="1:5" x14ac:dyDescent="0.25">
      <c r="A91">
        <v>90</v>
      </c>
      <c r="B91">
        <f>A91*XP_PER_LEVEL</f>
      </c>
      <c r="C91">
        <f>XP_PER_LEVEL*A91*(A91-1)/2</f>
      </c>
      <c r="D91" s="5">
        <f>C91/(XP_BASE+XP_NORMAL*1)</f>
      </c>
      <c r="E91" s="5">
        <f>C91/(XP_BASE+XP_NORMAL*2)</f>
      </c>
    </row>
    <row r="92" spans="1:5" x14ac:dyDescent="0.25">
      <c r="A92">
        <v>91</v>
      </c>
      <c r="B92">
        <f>A92*XP_PER_LEVEL</f>
      </c>
      <c r="C92">
        <f>XP_PER_LEVEL*A92*(A92-1)/2</f>
      </c>
      <c r="D92" s="5">
        <f>C92/(XP_BASE+XP_NORMAL*1)</f>
      </c>
      <c r="E92" s="5">
        <f>C92/(XP_BASE+XP_NORMAL*2)</f>
      </c>
    </row>
    <row r="93" spans="1:5" x14ac:dyDescent="0.25">
      <c r="A93">
        <v>92</v>
      </c>
      <c r="B93">
        <f>A93*XP_PER_LEVEL</f>
      </c>
      <c r="C93">
        <f>XP_PER_LEVEL*A93*(A93-1)/2</f>
      </c>
      <c r="D93" s="5">
        <f>C93/(XP_BASE+XP_NORMAL*1)</f>
      </c>
      <c r="E93" s="5">
        <f>C93/(XP_BASE+XP_NORMAL*2)</f>
      </c>
    </row>
    <row r="94" spans="1:5" x14ac:dyDescent="0.25">
      <c r="A94">
        <v>93</v>
      </c>
      <c r="B94">
        <f>A94*XP_PER_LEVEL</f>
      </c>
      <c r="C94">
        <f>XP_PER_LEVEL*A94*(A94-1)/2</f>
      </c>
      <c r="D94" s="5">
        <f>C94/(XP_BASE+XP_NORMAL*1)</f>
      </c>
      <c r="E94" s="5">
        <f>C94/(XP_BASE+XP_NORMAL*2)</f>
      </c>
    </row>
    <row r="95" spans="1:5" x14ac:dyDescent="0.25">
      <c r="A95">
        <v>94</v>
      </c>
      <c r="B95">
        <f>A95*XP_PER_LEVEL</f>
      </c>
      <c r="C95">
        <f>XP_PER_LEVEL*A95*(A95-1)/2</f>
      </c>
      <c r="D95" s="5">
        <f>C95/(XP_BASE+XP_NORMAL*1)</f>
      </c>
      <c r="E95" s="5">
        <f>C95/(XP_BASE+XP_NORMAL*2)</f>
      </c>
    </row>
    <row r="96" spans="1:5" x14ac:dyDescent="0.25">
      <c r="A96">
        <v>95</v>
      </c>
      <c r="B96">
        <f>A96*XP_PER_LEVEL</f>
      </c>
      <c r="C96">
        <f>XP_PER_LEVEL*A96*(A96-1)/2</f>
      </c>
      <c r="D96" s="5">
        <f>C96/(XP_BASE+XP_NORMAL*1)</f>
      </c>
      <c r="E96" s="5">
        <f>C96/(XP_BASE+XP_NORMAL*2)</f>
      </c>
    </row>
    <row r="97" spans="1:5" x14ac:dyDescent="0.25">
      <c r="A97">
        <v>96</v>
      </c>
      <c r="B97">
        <f>A97*XP_PER_LEVEL</f>
      </c>
      <c r="C97">
        <f>XP_PER_LEVEL*A97*(A97-1)/2</f>
      </c>
      <c r="D97" s="5">
        <f>C97/(XP_BASE+XP_NORMAL*1)</f>
      </c>
      <c r="E97" s="5">
        <f>C97/(XP_BASE+XP_NORMAL*2)</f>
      </c>
    </row>
    <row r="98" spans="1:5" x14ac:dyDescent="0.25">
      <c r="A98">
        <v>97</v>
      </c>
      <c r="B98">
        <f>A98*XP_PER_LEVEL</f>
      </c>
      <c r="C98">
        <f>XP_PER_LEVEL*A98*(A98-1)/2</f>
      </c>
      <c r="D98" s="5">
        <f>C98/(XP_BASE+XP_NORMAL*1)</f>
      </c>
      <c r="E98" s="5">
        <f>C98/(XP_BASE+XP_NORMAL*2)</f>
      </c>
    </row>
    <row r="99" spans="1:5" x14ac:dyDescent="0.25">
      <c r="A99">
        <v>98</v>
      </c>
      <c r="B99">
        <f>A99*XP_PER_LEVEL</f>
      </c>
      <c r="C99">
        <f>XP_PER_LEVEL*A99*(A99-1)/2</f>
      </c>
      <c r="D99" s="5">
        <f>C99/(XP_BASE+XP_NORMAL*1)</f>
      </c>
      <c r="E99" s="5">
        <f>C99/(XP_BASE+XP_NORMAL*2)</f>
      </c>
    </row>
    <row r="100" spans="1:5" x14ac:dyDescent="0.25">
      <c r="A100">
        <v>99</v>
      </c>
      <c r="B100">
        <f>A100*XP_PER_LEVEL</f>
      </c>
      <c r="C100">
        <f>XP_PER_LEVEL*A100*(A100-1)/2</f>
      </c>
      <c r="D100" s="5">
        <f>C100/(XP_BASE+XP_NORMAL*1)</f>
      </c>
      <c r="E100" s="5">
        <f>C100/(XP_BASE+XP_NORMAL*2)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Run Log</vt:lpstr>
      <vt:lpstr>Scenario</vt:lpstr>
      <vt:lpstr>Level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Hollow Kin</dc:creator>
  <dc:title/>
  <dc:subject/>
  <dc:description/>
  <cp:keywords/>
  <cp:category/>
  <cp:lastModifiedBy>Unknown</cp:lastModifiedBy>
  <dcterms:created xsi:type="dcterms:W3CDTF">2026-08-27T04:12:17Z</dcterms:created>
  <dcterms:modified xsi:type="dcterms:W3CDTF">2026-08-27T04:12:17Z</dcterms:modified>
</cp:coreProperties>
</file>